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README" sheetId="1" state="visible" r:id="rId3"/>
    <sheet name="1. Przeglad" sheetId="2" state="visible" r:id="rId4"/>
    <sheet name="2. Odbiorcy" sheetId="3" state="visible" r:id="rId5"/>
    <sheet name="3. Harmonogram" sheetId="4" state="visible" r:id="rId6"/>
    <sheet name="4. Kanaly" sheetId="5" state="visible" r:id="rId7"/>
    <sheet name="5. Budzet" sheetId="6" state="visible" r:id="rId8"/>
    <sheet name="6. Tresci" sheetId="7" state="visible" r:id="rId9"/>
    <sheet name="7. Zadania" sheetId="8" state="visible" r:id="rId10"/>
    <sheet name="8. KPI" sheetId="9" state="visible" r:id="rId11"/>
  </sheets>
  <definedNames>
    <definedName function="false" hidden="true" localSheetId="2" name="_xlnm._FilterDatabase" vbProcedure="false">'2. Odbiorcy'!$A$3:$F$10</definedName>
    <definedName function="false" hidden="true" localSheetId="3" name="_xlnm._FilterDatabase" vbProcedure="false">'3. Harmonogram'!$A$3:$I$29</definedName>
    <definedName function="false" hidden="true" localSheetId="4" name="_xlnm._FilterDatabase" vbProcedure="false">'4. Kanaly'!$A$3:$H$15</definedName>
    <definedName function="false" hidden="true" localSheetId="6" name="_xlnm._FilterDatabase" vbProcedure="false">'6. Tresci'!$A$3:$F$35</definedName>
    <definedName function="false" hidden="true" localSheetId="7" name="_xlnm._FilterDatabase" vbProcedure="false">'7. Zadania'!$A$5:$F$25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<sst xmlns="http://schemas.openxmlformats.org/spreadsheetml/2006/main" count="873" uniqueCount="580">
  <si>
    <t xml:space="preserve">FRESH MARKET 2026 — PLAN MARKETINGOWY · INSTRUKCJA</t>
  </si>
  <si>
    <t xml:space="preserve">Cel pliku</t>
  </si>
  <si>
    <t xml:space="preserve">Plan marketingowy dla zespołu marketingu Fresh Market 2026 — od startu kampanii (W1 = 30.03.2026) do eventu (24.09.2026) i wrap-up (W21).</t>
  </si>
  <si>
    <t xml:space="preserve">Struktura arkuszy</t>
  </si>
  <si>
    <t xml:space="preserve">1. Przeglad — cele i fakty. 2. Odbiorcy — segmenty i komunikaty. 3. Harmonogram — tydzień po tygodniu. 4. Kanaly — taktyki per kanał. 5. Budzet — koszty + przychód sponsorów. 6. Tresci — content plan. 7. Zadania — lista Arthur (solo). 8. KPI — tracker tygodniowy.</t>
  </si>
  <si>
    <t xml:space="preserve">Jak edytować</t>
  </si>
  <si>
    <t xml:space="preserve">Komórki z niebieską czcionką = INPUT. Czarna czcionka = FORMUŁA (nie nadpisuj). Zielone tło = subtotal. Filtr dostępny w nagłówkach (auto-filter).</t>
  </si>
  <si>
    <t xml:space="preserve">Tydzień bieżący</t>
  </si>
  <si>
    <t xml:space="preserve">Arkusz 3 (Harmonogram) automatycznie zaznacza żółtym aktualny tydzień (na dzień 20.04.2026 — W4).</t>
  </si>
  <si>
    <t xml:space="preserve">Co robić co tydzień</t>
  </si>
  <si>
    <t xml:space="preserve">Poniedziałek: zaplanuj 3 rzeczy z arkusza 7. Codziennie: publikacja w LinkedIn (wg arkusza 6). Piątek: zaktualizuj KPI (arkusz 8).</t>
  </si>
  <si>
    <t xml:space="preserve">Zasady komunikacji</t>
  </si>
  <si>
    <t xml:space="preserve">NIE obiecuj konkretnej listy sieci przed połową września. NIE kieruj zimnego ruchu na homepage freshmarket.eu — używaj /pl/registration. Early Bird tylko do 31.07.2026.</t>
  </si>
  <si>
    <t xml:space="preserve">Źródła danych</t>
  </si>
  <si>
    <t xml:space="preserve">Dokument pakietów sponsorskich (Opis Pakietów sponsorskich), szablon LinkedIn 20 lat, audyt GA4, wnioski z konsultacji FM26 (ChatGPT).</t>
  </si>
  <si>
    <t xml:space="preserve">Data eventu</t>
  </si>
  <si>
    <t xml:space="preserve">24 września 2026 (czwartek) — nie zmieniać bez uzgodnienia.</t>
  </si>
  <si>
    <t xml:space="preserve">FRESH MARKET 2026 — PLAN MARKETINGOWY</t>
  </si>
  <si>
    <t xml:space="preserve">20. edycja · Event: 24 września 2026 · Format 1-dniowy B2B</t>
  </si>
  <si>
    <t xml:space="preserve">KLUCZOWE FAKTY</t>
  </si>
  <si>
    <t xml:space="preserve">24 września 2026 (czwartek)</t>
  </si>
  <si>
    <t xml:space="preserve">Lokalizacja</t>
  </si>
  <si>
    <t xml:space="preserve">Warszawa (uzupełnić miejsce)</t>
  </si>
  <si>
    <t xml:space="preserve">Format</t>
  </si>
  <si>
    <t xml:space="preserve">1 dzień, spotkania B2B: sieci handlowe, dystrybutorzy, importerzy</t>
  </si>
  <si>
    <t xml:space="preserve">Skala (historycznie)</t>
  </si>
  <si>
    <t xml:space="preserve">ok. 200–220 firm, ok. 350 osób, ok. 20–27 sieci, ok. 20 dystrybutorów</t>
  </si>
  <si>
    <t xml:space="preserve">Early Bird</t>
  </si>
  <si>
    <t xml:space="preserve">do 31.07.2026 włącznie</t>
  </si>
  <si>
    <t xml:space="preserve">Rodzaje biletu</t>
  </si>
  <si>
    <t xml:space="preserve">STANDARD (networking + Speed Dating po 16:00) · BUSINESS (matchmaking + do 5 spotkań 1:1, priorytet)</t>
  </si>
  <si>
    <t xml:space="preserve">Pakiety sponsorskie</t>
  </si>
  <si>
    <t xml:space="preserve">Sponsor Eventu 4 250 € · Sponsor Business Meetings 4 500 € · Sponsor Generalny 8 000 €</t>
  </si>
  <si>
    <t xml:space="preserve">Landing do kampanii (PL)</t>
  </si>
  <si>
    <t xml:space="preserve">freshmarket.eu/pl/registration</t>
  </si>
  <si>
    <t xml:space="preserve">Landing do kampanii (EN)</t>
  </si>
  <si>
    <t xml:space="preserve">freshmarket.eu/registration</t>
  </si>
  <si>
    <t xml:space="preserve">UWAGA — homepage</t>
  </si>
  <si>
    <t xml:space="preserve">freshmarket.eu dziś mówi 'Nowa strona wkrótce' — NIE kierować zimnego ruchu</t>
  </si>
  <si>
    <t xml:space="preserve">Zespół marketingu</t>
  </si>
  <si>
    <t xml:space="preserve">Arthur (solo); wsparcie AI: ChatGPT, Claude, Cowork, Gemini</t>
  </si>
  <si>
    <t xml:space="preserve">Baza mailingowa</t>
  </si>
  <si>
    <t xml:space="preserve">ok. 6 000 firm (branża fresh produce)</t>
  </si>
  <si>
    <t xml:space="preserve">Konto LinkedIn FM</t>
  </si>
  <si>
    <t xml:space="preserve">ok. 2 100 obserwujących (kanał #1 dla sprzedaży udziału)</t>
  </si>
  <si>
    <t xml:space="preserve">Seria content</t>
  </si>
  <si>
    <t xml:space="preserve">20 lat Fresh Market – Historia Wystawców (ok. 40 grafik archiwalnych)</t>
  </si>
  <si>
    <t xml:space="preserve">CELE MARKETINGOWE (do 24.09.2026)</t>
  </si>
  <si>
    <t xml:space="preserve">#</t>
  </si>
  <si>
    <t xml:space="preserve">Cel</t>
  </si>
  <si>
    <t xml:space="preserve">Miara (KPI)</t>
  </si>
  <si>
    <t xml:space="preserve">Target</t>
  </si>
  <si>
    <t xml:space="preserve">Stan na dziś</t>
  </si>
  <si>
    <t xml:space="preserve">Luka do targetu</t>
  </si>
  <si>
    <t xml:space="preserve">Rejestracje uczestników</t>
  </si>
  <si>
    <t xml:space="preserve">Liczba zarejestrowanych uczestników</t>
  </si>
  <si>
    <t xml:space="preserve">Firmy uczestniczące</t>
  </si>
  <si>
    <t xml:space="preserve">Liczba firm (wystawcy + odwiedzający)</t>
  </si>
  <si>
    <t xml:space="preserve">Sieci handlowe potwierdzone</t>
  </si>
  <si>
    <t xml:space="preserve">Liczba sieci handlowych</t>
  </si>
  <si>
    <t xml:space="preserve">Dystrybutorzy potwierdzeni</t>
  </si>
  <si>
    <t xml:space="preserve">Liczba dystrybutorów</t>
  </si>
  <si>
    <t xml:space="preserve">Sponsorzy zakontraktowani</t>
  </si>
  <si>
    <t xml:space="preserve">Liczba pakietów (Event/BM/Generalny)</t>
  </si>
  <si>
    <t xml:space="preserve">Bilety Business sprzedane przed Early Bird</t>
  </si>
  <si>
    <t xml:space="preserve">Liczba biletów Business do 31.07</t>
  </si>
  <si>
    <t xml:space="preserve">Zasięg LinkedIn (organic+ads)</t>
  </si>
  <si>
    <t xml:space="preserve">Impresje organiczne + płatne (łącznie)</t>
  </si>
  <si>
    <t xml:space="preserve">Baza leadów</t>
  </si>
  <si>
    <t xml:space="preserve">Nowe leady w CRM</t>
  </si>
  <si>
    <t xml:space="preserve">GRUPY DOCELOWE — SEGMENTACJA I KOMUNIKATY</t>
  </si>
  <si>
    <t xml:space="preserve">Segment</t>
  </si>
  <si>
    <t xml:space="preserve">Opis</t>
  </si>
  <si>
    <t xml:space="preserve">Kanał priorytet 1</t>
  </si>
  <si>
    <t xml:space="preserve">Kanał priorytet 2</t>
  </si>
  <si>
    <t xml:space="preserve">Kluczowy komunikat (PL)</t>
  </si>
  <si>
    <t xml:space="preserve">Oczekiwana akcja</t>
  </si>
  <si>
    <t xml:space="preserve">Sieci handlowe (Retail)</t>
  </si>
  <si>
    <t xml:space="preserve">Kupcy kategorii fresh produce, Head of Buying, Category Manager w sieciach PL + CE</t>
  </si>
  <si>
    <t xml:space="preserve">Mailing 1:1 + telefon</t>
  </si>
  <si>
    <t xml:space="preserve">LinkedIn InMail</t>
  </si>
  <si>
    <t xml:space="preserve">Zaproś kupców na 1 dzień spotkań B2B z dostawcami — matchmaking w Fresh Market 2026.</t>
  </si>
  <si>
    <t xml:space="preserve">Potwierdzenie obecności + zgłoszenie kupców</t>
  </si>
  <si>
    <t xml:space="preserve">Dostawcy owoce/warzywa</t>
  </si>
  <si>
    <t xml:space="preserve">Producenci, packhousy, eksporterzy, grupy producenckie (PL + Europa)</t>
  </si>
  <si>
    <t xml:space="preserve">LinkedIn + e-mail</t>
  </si>
  <si>
    <t xml:space="preserve">Google Ads retargeting</t>
  </si>
  <si>
    <t xml:space="preserve">Spotkaj kupców z 25 sieci w 1 dzień. Early Bird do 31.07.</t>
  </si>
  <si>
    <t xml:space="preserve">Rejestracja BUSINESS (z matchmakingiem)</t>
  </si>
  <si>
    <t xml:space="preserve">Dystrybutorzy / importerzy</t>
  </si>
  <si>
    <t xml:space="preserve">Hurtownie, importerzy, dystrybutorzy w kanale HoReCa i retail</t>
  </si>
  <si>
    <t xml:space="preserve">Mailing z historii + LinkedIn</t>
  </si>
  <si>
    <t xml:space="preserve">Newsletter branżowy</t>
  </si>
  <si>
    <t xml:space="preserve">Poznaj nowych kontraktorów i poszerz portfolio marek.</t>
  </si>
  <si>
    <t xml:space="preserve">Rejestracja STANDARD lub BUSINESS</t>
  </si>
  <si>
    <t xml:space="preserve">Kwiaciarstwo / rośliny ozdobne</t>
  </si>
  <si>
    <t xml:space="preserve">Importerzy kwiatów, producenci, sieci kwiatowe</t>
  </si>
  <si>
    <t xml:space="preserve">E-mail z bazy + LinkedIn</t>
  </si>
  <si>
    <t xml:space="preserve">Partnerzy branżowi</t>
  </si>
  <si>
    <t xml:space="preserve">Jedyne miejsce w Polsce, gdzie retail + flora spotyka się w jednym dniu.</t>
  </si>
  <si>
    <t xml:space="preserve">Rejestracja STANDARD</t>
  </si>
  <si>
    <t xml:space="preserve">Potencjalni sponsorzy</t>
  </si>
  <si>
    <t xml:space="preserve">Dotychczasowi sponsorzy + TOP 50 firm w bazie</t>
  </si>
  <si>
    <t xml:space="preserve">Spotkanie prezentacyjne</t>
  </si>
  <si>
    <t xml:space="preserve">Pakiet sponsorski = widoczność u 6 000 firm + spotkania z kupcami.</t>
  </si>
  <si>
    <t xml:space="preserve">Podpisanie umowy sponsorskiej</t>
  </si>
  <si>
    <t xml:space="preserve">Media branżowe</t>
  </si>
  <si>
    <t xml:space="preserve">Portale, magazyny, blogerzy branży fresh produce</t>
  </si>
  <si>
    <t xml:space="preserve">Bezpośredni kontakt PR</t>
  </si>
  <si>
    <t xml:space="preserve">Newsletter eventu</t>
  </si>
  <si>
    <t xml:space="preserve">20. edycja Fresh Market — największe B2B owoców i warzyw w CE.</t>
  </si>
  <si>
    <t xml:space="preserve">Patronat medialny / artykuł</t>
  </si>
  <si>
    <t xml:space="preserve">Byli wystawcy (alumni)</t>
  </si>
  <si>
    <t xml:space="preserve">Firmy z bazy, które kiedyś już były na Fresh Market</t>
  </si>
  <si>
    <t xml:space="preserve">Osobny mailing 'Wracamy po 20 latach'</t>
  </si>
  <si>
    <t xml:space="preserve">LinkedIn tagi</t>
  </si>
  <si>
    <t xml:space="preserve">Pamiętasz, jak zaczynaliśmy? Dołącz do jubileuszowej 20. edycji.</t>
  </si>
  <si>
    <t xml:space="preserve">Rejestracja BUSINESS + udział w serii 20 lat</t>
  </si>
  <si>
    <t xml:space="preserve">HARMONOGRAM TYGODNIOWY W1 → EVENT (24.09.2026)</t>
  </si>
  <si>
    <t xml:space="preserve">Tydzień</t>
  </si>
  <si>
    <t xml:space="preserve">Daty</t>
  </si>
  <si>
    <t xml:space="preserve">Faza kampanii</t>
  </si>
  <si>
    <t xml:space="preserve">LinkedIn</t>
  </si>
  <si>
    <t xml:space="preserve">Google Ads</t>
  </si>
  <si>
    <t xml:space="preserve">E-mailing</t>
  </si>
  <si>
    <t xml:space="preserve">Seria 20 lat (grafiki)</t>
  </si>
  <si>
    <t xml:space="preserve">PR / Sieci handlowe</t>
  </si>
  <si>
    <t xml:space="preserve">Status</t>
  </si>
  <si>
    <t xml:space="preserve">W1</t>
  </si>
  <si>
    <t xml:space="preserve">30.03 – 05.04.2026</t>
  </si>
  <si>
    <t xml:space="preserve">Start kampanii — otwarcie rejestracji</t>
  </si>
  <si>
    <t xml:space="preserve">Post #1: 'Rejestracja FM2026 otwarta' + Early Bird CTA</t>
  </si>
  <si>
    <t xml:space="preserve">Uruchomienie retargetingu (freshmarket.eu → /registration)</t>
  </si>
  <si>
    <t xml:space="preserve">Wysyłka #1 do bazy 6k: 'Zapraszamy na 20. edycję'</t>
  </si>
  <si>
    <t xml:space="preserve">Master template 1080×1350 (Photoshop)</t>
  </si>
  <si>
    <t xml:space="preserve">Draft zaproszeń dla TOP 25 sieci</t>
  </si>
  <si>
    <t xml:space="preserve">Zamknięte</t>
  </si>
  <si>
    <t xml:space="preserve">W2</t>
  </si>
  <si>
    <t xml:space="preserve">06.04 – 12.04.2026</t>
  </si>
  <si>
    <t xml:space="preserve">Wzmacnianie lejka</t>
  </si>
  <si>
    <t xml:space="preserve">Post #2: Seria 20 lat — start (2008: Mega Fresh)</t>
  </si>
  <si>
    <t xml:space="preserve">Optymalizacja kampanii + dodanie look-alike</t>
  </si>
  <si>
    <t xml:space="preserve">Follow-up do otwierających mail #1</t>
  </si>
  <si>
    <t xml:space="preserve">3 grafiki archiwalne (2008)</t>
  </si>
  <si>
    <t xml:space="preserve">Pierwsze telefony do kupców (pilot)</t>
  </si>
  <si>
    <t xml:space="preserve">W3</t>
  </si>
  <si>
    <t xml:space="preserve">13.04 – 19.04.2026</t>
  </si>
  <si>
    <t xml:space="preserve">Budowanie social proof</t>
  </si>
  <si>
    <t xml:space="preserve">Post #3: Seria 20 lat (2009) + karuzela 'Dlaczego Business'</t>
  </si>
  <si>
    <t xml:space="preserve">Kampania konwersji: bilet BUSINESS</t>
  </si>
  <si>
    <t xml:space="preserve">Wysyłka #2: 'Jak działa matchmaking' (ticket BUSINESS)</t>
  </si>
  <si>
    <t xml:space="preserve">3 grafiki (2009)</t>
  </si>
  <si>
    <t xml:space="preserve">Mailing 1:1 do 25 sieci (personalny)</t>
  </si>
  <si>
    <t xml:space="preserve">W4</t>
  </si>
  <si>
    <t xml:space="preserve">20.04 – 26.04.2026</t>
  </si>
  <si>
    <t xml:space="preserve">Pierwsze potwierdzenia sieci (od W4 rytm co tydzień)</t>
  </si>
  <si>
    <t xml:space="preserve">Post #4: Potwierdzenie sieci #1 (np. Biedronka)</t>
  </si>
  <si>
    <t xml:space="preserve">Dodanie kampanii brandowej #FreshMarket2026</t>
  </si>
  <si>
    <t xml:space="preserve">Wysyłka #3: 'Kto już potwierdził' (lista sieci na dziś)</t>
  </si>
  <si>
    <t xml:space="preserve">3 grafiki (2010)</t>
  </si>
  <si>
    <t xml:space="preserve">Follow-up do sieci + zgłoszenie kupców</t>
  </si>
  <si>
    <t xml:space="preserve">W toku (aktualny tydzień)</t>
  </si>
  <si>
    <t xml:space="preserve">W5</t>
  </si>
  <si>
    <t xml:space="preserve">27.04 – 03.05.2026</t>
  </si>
  <si>
    <t xml:space="preserve">Potwierdzenia sieci #2</t>
  </si>
  <si>
    <t xml:space="preserve">Post #5: Potwierdzenie sieci + video insert</t>
  </si>
  <si>
    <t xml:space="preserve">Kampania Q&amp;A: 'Standard vs Business'</t>
  </si>
  <si>
    <t xml:space="preserve">Wysyłka #4: Reminder Early Bird (czas limitowany)</t>
  </si>
  <si>
    <t xml:space="preserve">3 grafiki (2011)</t>
  </si>
  <si>
    <t xml:space="preserve">Zaproszenia do kupców z zagranicy</t>
  </si>
  <si>
    <t xml:space="preserve">Do zrobienia</t>
  </si>
  <si>
    <t xml:space="preserve">W6</t>
  </si>
  <si>
    <t xml:space="preserve">04.05 – 10.05.2026</t>
  </si>
  <si>
    <t xml:space="preserve">Potwierdzenia sieci #3 + rusza sprzedaż sponsorów</t>
  </si>
  <si>
    <t xml:space="preserve">Post #6: Potwierdzenie + prezentacja pakietów sponsorskich</t>
  </si>
  <si>
    <t xml:space="preserve">Kampania sponsorska (targeting: byli sponsorzy)</t>
  </si>
  <si>
    <t xml:space="preserve">Wysyłka sponsorska do TOP 50 firm w bazie</t>
  </si>
  <si>
    <t xml:space="preserve">3 grafiki (2012)</t>
  </si>
  <si>
    <t xml:space="preserve">Prezentacje 1:1 u potencjalnych sponsorów</t>
  </si>
  <si>
    <t xml:space="preserve">W7</t>
  </si>
  <si>
    <t xml:space="preserve">11.05 – 17.05.2026</t>
  </si>
  <si>
    <t xml:space="preserve">Potwierdzenia #4 + case study</t>
  </si>
  <si>
    <t xml:space="preserve">Post #7: Case study: 'Dostawca X o kontrakcie po FM2024'</t>
  </si>
  <si>
    <t xml:space="preserve">Retargeting uczestników FM2024/25</t>
  </si>
  <si>
    <t xml:space="preserve">Wysyłka: case study + link do rejestracji</t>
  </si>
  <si>
    <t xml:space="preserve">3 grafiki (2013)</t>
  </si>
  <si>
    <t xml:space="preserve">Push do dystrybutorów (20+ celów)</t>
  </si>
  <si>
    <t xml:space="preserve">W8</t>
  </si>
  <si>
    <t xml:space="preserve">18.05 – 24.05.2026</t>
  </si>
  <si>
    <t xml:space="preserve">Potwierdzenia #5 + content educational</t>
  </si>
  <si>
    <t xml:space="preserve">Post #8: Carousel 'Jak przygotować się do matchmakingu'</t>
  </si>
  <si>
    <t xml:space="preserve">Skalowanie kampanii BUSINESS (+30%)</t>
  </si>
  <si>
    <t xml:space="preserve">Wysyłka #5: 'Co zabrać na Fresh Market'</t>
  </si>
  <si>
    <t xml:space="preserve">3 grafiki (2014)</t>
  </si>
  <si>
    <t xml:space="preserve">Mailing do kupców zagranicznych (DE, CZ, UA)</t>
  </si>
  <si>
    <t xml:space="preserve">W9</t>
  </si>
  <si>
    <t xml:space="preserve">25.05 – 31.05.2026</t>
  </si>
  <si>
    <t xml:space="preserve">Potwierdzenia #6 + social listening</t>
  </si>
  <si>
    <t xml:space="preserve">Post #9: Potwierdzenie 2 sieci w 1 tygodniu</t>
  </si>
  <si>
    <t xml:space="preserve">Test nowych kreacji (A/B)</t>
  </si>
  <si>
    <t xml:space="preserve">Wysyłka: 'Ostatnie 4 tygodnie do Early Bird'</t>
  </si>
  <si>
    <t xml:space="preserve">3 grafiki (2015)</t>
  </si>
  <si>
    <t xml:space="preserve">Telekonferencje z niezdecydowanymi sieciami</t>
  </si>
  <si>
    <t xml:space="preserve">W10</t>
  </si>
  <si>
    <t xml:space="preserve">01.06 – 07.06.2026</t>
  </si>
  <si>
    <t xml:space="preserve">Potwierdzenia #7 — sprint Early Bird</t>
  </si>
  <si>
    <t xml:space="preserve">Post #10: Countdown Early Bird (15 dni)</t>
  </si>
  <si>
    <t xml:space="preserve">Budżet Early Bird +50% (urgency)</t>
  </si>
  <si>
    <t xml:space="preserve">Wysyłka: 'Early Bird kończy się 31.07'</t>
  </si>
  <si>
    <t xml:space="preserve">3 grafiki (2016)</t>
  </si>
  <si>
    <t xml:space="preserve">Domykanie sponsorów Event (4250€)</t>
  </si>
  <si>
    <t xml:space="preserve">W11</t>
  </si>
  <si>
    <t xml:space="preserve">08.06 – 14.06.2026</t>
  </si>
  <si>
    <t xml:space="preserve">Potwierdzenia #8 — ostatni tydzień Early Bird</t>
  </si>
  <si>
    <t xml:space="preserve">Post #11: Dzień po dniu (5 dni, 3 dni, 1 dzień)</t>
  </si>
  <si>
    <t xml:space="preserve">Maksymalny push ostatniego tygodnia</t>
  </si>
  <si>
    <t xml:space="preserve">Wysyłka #6: 'Early Bird kończy się za 7 dni'</t>
  </si>
  <si>
    <t xml:space="preserve">3 grafiki (2017)</t>
  </si>
  <si>
    <t xml:space="preserve">Follow-up do zainteresowanych BUSINESS</t>
  </si>
  <si>
    <t xml:space="preserve">W12</t>
  </si>
  <si>
    <t xml:space="preserve">15.06 – 21.06.2026</t>
  </si>
  <si>
    <t xml:space="preserve">Post-Early Bird — nowa cena</t>
  </si>
  <si>
    <t xml:space="preserve">Post #12: Podsumowanie Early Bird + 'rejestracja trwa'</t>
  </si>
  <si>
    <t xml:space="preserve">Zmiana komunikatu: 'Rejestracja wciąż otwarta'</t>
  </si>
  <si>
    <t xml:space="preserve">Wysyłka: 'Dziękujemy + kto jeszcze może dołączyć'</t>
  </si>
  <si>
    <t xml:space="preserve">3 grafiki (2018)</t>
  </si>
  <si>
    <t xml:space="preserve">Analiza: kto z sieci jeszcze nie potwierdził</t>
  </si>
  <si>
    <t xml:space="preserve">W13</t>
  </si>
  <si>
    <t xml:space="preserve">22.06 – 28.06.2026</t>
  </si>
  <si>
    <t xml:space="preserve">Content-driven sierpień</t>
  </si>
  <si>
    <t xml:space="preserve">Post #13: Temat merytoryczny (trendy fresh produce)</t>
  </si>
  <si>
    <t xml:space="preserve">Obniżenie budżetu o 30% (sezon urlopowy)</t>
  </si>
  <si>
    <t xml:space="preserve">Lekki newsletter branżowy (wiadomości z rynku)</t>
  </si>
  <si>
    <t xml:space="preserve">3 grafiki (2019)</t>
  </si>
  <si>
    <t xml:space="preserve">Pauza — reszta urlopowa</t>
  </si>
  <si>
    <t xml:space="preserve">W14</t>
  </si>
  <si>
    <t xml:space="preserve">29.06 – 05.07.2026</t>
  </si>
  <si>
    <t xml:space="preserve">Powrót z urlopów — reaktywacja</t>
  </si>
  <si>
    <t xml:space="preserve">Post #14: 'Wracamy z przerwy — 6 tygodni do FM'</t>
  </si>
  <si>
    <t xml:space="preserve">Reaktywacja kampanii brandowej</t>
  </si>
  <si>
    <t xml:space="preserve">Wysyłka: 'Co się zmieniło przez sierpień'</t>
  </si>
  <si>
    <t xml:space="preserve">3 grafiki (2020)</t>
  </si>
  <si>
    <t xml:space="preserve">Ostateczne negocjacje z sieciami</t>
  </si>
  <si>
    <t xml:space="preserve">W15</t>
  </si>
  <si>
    <t xml:space="preserve">06.07 – 12.07.2026</t>
  </si>
  <si>
    <t xml:space="preserve">Final push — 5 tygodni do eventu</t>
  </si>
  <si>
    <t xml:space="preserve">Post #15: Potwierdzenie sieci zagranicznej</t>
  </si>
  <si>
    <t xml:space="preserve">Kampania 'Ostatnie miejsca Business'</t>
  </si>
  <si>
    <t xml:space="preserve">Wysyłka #7: 'Zostało 5 tygodni — sprawdź listę sieci'</t>
  </si>
  <si>
    <t xml:space="preserve">3 grafiki (2021)</t>
  </si>
  <si>
    <t xml:space="preserve">Finalizacja wszystkich pakietów sponsorskich</t>
  </si>
  <si>
    <t xml:space="preserve">W16</t>
  </si>
  <si>
    <t xml:space="preserve">13.07 – 19.07.2026</t>
  </si>
  <si>
    <t xml:space="preserve">Final push — 4 tygodnie</t>
  </si>
  <si>
    <t xml:space="preserve">Post #16: Speed Dating reveal (co to jest)</t>
  </si>
  <si>
    <t xml:space="preserve">Push na ticket STANDARD (networking)</t>
  </si>
  <si>
    <t xml:space="preserve">Wysyłka: 'Speed Dating po 16:00'</t>
  </si>
  <si>
    <t xml:space="preserve">3 grafiki (2022)</t>
  </si>
  <si>
    <t xml:space="preserve">Logistyka: potwierdzenia uczestnictwa kupców</t>
  </si>
  <si>
    <t xml:space="preserve">W17</t>
  </si>
  <si>
    <t xml:space="preserve">20.07 – 26.07.2026</t>
  </si>
  <si>
    <t xml:space="preserve">Final push — 3 tygodnie</t>
  </si>
  <si>
    <t xml:space="preserve">Post #17: Agenda dnia eventu</t>
  </si>
  <si>
    <t xml:space="preserve">Kampania 'Last call Business ticket'</t>
  </si>
  <si>
    <t xml:space="preserve">Wysyłka #8: Agenda + lista potwierdzonych sieci (wersja 1)</t>
  </si>
  <si>
    <t xml:space="preserve">3 grafiki (2023)</t>
  </si>
  <si>
    <t xml:space="preserve">Odprawa z kupcami + hotel logistyka</t>
  </si>
  <si>
    <t xml:space="preserve">W18</t>
  </si>
  <si>
    <t xml:space="preserve">27.07 – 02.08.2026</t>
  </si>
  <si>
    <t xml:space="preserve">Final push — 2 tygodnie</t>
  </si>
  <si>
    <t xml:space="preserve">Post #18: Mapa stoisk + highlights sponsorów</t>
  </si>
  <si>
    <t xml:space="preserve">Dynamic retargeting (porzuceni koszykowcy)</t>
  </si>
  <si>
    <t xml:space="preserve">Wysyłka #9: 'Odbiór biletu + materiały'</t>
  </si>
  <si>
    <t xml:space="preserve">3 grafiki (2024)</t>
  </si>
  <si>
    <t xml:space="preserve">Druk identyfikatorów, toreb, folderu</t>
  </si>
  <si>
    <t xml:space="preserve">W19</t>
  </si>
  <si>
    <t xml:space="preserve">03.08 – 09.08.2026</t>
  </si>
  <si>
    <t xml:space="preserve">Finalna lista sieci — tydzień przed</t>
  </si>
  <si>
    <t xml:space="preserve">Post #19: PEŁNA lista sieci + countdown 7 dni</t>
  </si>
  <si>
    <t xml:space="preserve">Maksymalny budżet ostatniego tygodnia</t>
  </si>
  <si>
    <t xml:space="preserve">Wysyłka #10: Finalna lista sieci + logistyka</t>
  </si>
  <si>
    <t xml:space="preserve">3 grafiki (2025) + zapowiedź 2026</t>
  </si>
  <si>
    <t xml:space="preserve">Final briefing zespołu</t>
  </si>
  <si>
    <t xml:space="preserve">W20</t>
  </si>
  <si>
    <t xml:space="preserve">10.08 – 16.08.2026</t>
  </si>
  <si>
    <t xml:space="preserve">TYDZIEŃ EVENTU — 24.09.2026</t>
  </si>
  <si>
    <t xml:space="preserve">Posty live (stories, LinkedIn live), post-event reportaż</t>
  </si>
  <si>
    <t xml:space="preserve">Stop kampanii rejestracyjnych, start 'thank you'</t>
  </si>
  <si>
    <t xml:space="preserve">Wysyłka: 'Widzimy się jutro' + last minute info</t>
  </si>
  <si>
    <t xml:space="preserve">Grafiki live z eventu (sesje)</t>
  </si>
  <si>
    <t xml:space="preserve">OBSŁUGA EVENTU</t>
  </si>
  <si>
    <t xml:space="preserve">W21</t>
  </si>
  <si>
    <t xml:space="preserve">17.08 – 23.08.2026</t>
  </si>
  <si>
    <t xml:space="preserve">Post-event</t>
  </si>
  <si>
    <t xml:space="preserve">Post #20: Podsumowanie, zdjęcia, podziękowania</t>
  </si>
  <si>
    <t xml:space="preserve">Retargeting 'Nie byłeś? Zobacz co przegapiłeś'</t>
  </si>
  <si>
    <t xml:space="preserve">Wysyłka: podziękowania + zaproszenie na FM2027</t>
  </si>
  <si>
    <t xml:space="preserve">3 grafiki z samego eventu 2026</t>
  </si>
  <si>
    <t xml:space="preserve">NPS, zbieranie feedbacku od sieci</t>
  </si>
  <si>
    <t xml:space="preserve">W22</t>
  </si>
  <si>
    <t xml:space="preserve">24.08 – 30.08.2026</t>
  </si>
  <si>
    <t xml:space="preserve">Intensyfikacja — ostateczne potwierdzenia i logistyka</t>
  </si>
  <si>
    <t xml:space="preserve">Post tygodnia + speed dating reveal</t>
  </si>
  <si>
    <t xml:space="preserve">Kampania 'Last call'</t>
  </si>
  <si>
    <t xml:space="preserve">Mailing: lista sieci + logistyka</t>
  </si>
  <si>
    <t xml:space="preserve">3 grafiki (rok z serii)</t>
  </si>
  <si>
    <t xml:space="preserve">Domykanie sponsorów + kupcy zagranica</t>
  </si>
  <si>
    <t xml:space="preserve">W23</t>
  </si>
  <si>
    <t xml:space="preserve">31.08 – 06.09.2026</t>
  </si>
  <si>
    <t xml:space="preserve">W24</t>
  </si>
  <si>
    <t xml:space="preserve">07.09 – 13.09.2026</t>
  </si>
  <si>
    <t xml:space="preserve">W25</t>
  </si>
  <si>
    <t xml:space="preserve">14.09 – 20.09.2026</t>
  </si>
  <si>
    <t xml:space="preserve">W26</t>
  </si>
  <si>
    <t xml:space="preserve">21.09 – 27.09.2026</t>
  </si>
  <si>
    <t xml:space="preserve">KANAŁY I KAMPANIE — TAKTYKI I ODPOWIEDZIALNOŚCI</t>
  </si>
  <si>
    <t xml:space="preserve">Kanał</t>
  </si>
  <si>
    <t xml:space="preserve">Cel główny</t>
  </si>
  <si>
    <t xml:space="preserve">Format / Taktyka</t>
  </si>
  <si>
    <t xml:space="preserve">Częstotliwość</t>
  </si>
  <si>
    <t xml:space="preserve">Target segment</t>
  </si>
  <si>
    <t xml:space="preserve">Budżet (€)</t>
  </si>
  <si>
    <t xml:space="preserve">Właściciel</t>
  </si>
  <si>
    <t xml:space="preserve">Główne KPI</t>
  </si>
  <si>
    <t xml:space="preserve">LinkedIn — konto FM</t>
  </si>
  <si>
    <t xml:space="preserve">Build-up + konwersja</t>
  </si>
  <si>
    <t xml:space="preserve">Organic posts + karuzele + video</t>
  </si>
  <si>
    <t xml:space="preserve">3×/tydzień (pon/śr/pt)</t>
  </si>
  <si>
    <t xml:space="preserve">Dostawcy + sieci + dystrybucja</t>
  </si>
  <si>
    <t xml:space="preserve">Arthur</t>
  </si>
  <si>
    <t xml:space="preserve">Zasięg, CTR na /registration</t>
  </si>
  <si>
    <t xml:space="preserve">LinkedIn Ads</t>
  </si>
  <si>
    <t xml:space="preserve">Konwersja na bilet Business</t>
  </si>
  <si>
    <t xml:space="preserve">Single image + lead-gen forms</t>
  </si>
  <si>
    <t xml:space="preserve">Ciągle W1–W20</t>
  </si>
  <si>
    <t xml:space="preserve">Dostawcy BUSINESS + sponsorzy</t>
  </si>
  <si>
    <t xml:space="preserve">CPL, konwersje</t>
  </si>
  <si>
    <t xml:space="preserve">Google Ads — Search</t>
  </si>
  <si>
    <t xml:space="preserve">Zainteresowanie → rejestracja</t>
  </si>
  <si>
    <t xml:space="preserve">Search na 'fresh market targi', 'fresh produce event'</t>
  </si>
  <si>
    <t xml:space="preserve">Dostawcy dużych krajów CE</t>
  </si>
  <si>
    <t xml:space="preserve">Kliknięcia, konwersje</t>
  </si>
  <si>
    <t xml:space="preserve">Google Ads — Display retargeting</t>
  </si>
  <si>
    <t xml:space="preserve">Odzyskanie porzuconych</t>
  </si>
  <si>
    <t xml:space="preserve">Dynamic retargeting odwiedzających freshmarket.eu</t>
  </si>
  <si>
    <t xml:space="preserve">Odwiedzający strony</t>
  </si>
  <si>
    <t xml:space="preserve">Ponowne wejścia, konwersje</t>
  </si>
  <si>
    <t xml:space="preserve">E-mailing do bazy (6 000 firm)</t>
  </si>
  <si>
    <t xml:space="preserve">Rejestracja + awareness</t>
  </si>
  <si>
    <t xml:space="preserve">Newsletter z CTA + podstrony: lista sieci, Early Bird</t>
  </si>
  <si>
    <t xml:space="preserve">10 wysyłek (W1–W20)</t>
  </si>
  <si>
    <t xml:space="preserve">Cała baza branżowa</t>
  </si>
  <si>
    <t xml:space="preserve">Open rate, CTR, rejestracje</t>
  </si>
  <si>
    <t xml:space="preserve">E-mailing 1:1 sieci handlowe</t>
  </si>
  <si>
    <t xml:space="preserve">Potwierdzenie kupców</t>
  </si>
  <si>
    <t xml:space="preserve">Personalizowane zaproszenia z propozycją spotkania</t>
  </si>
  <si>
    <t xml:space="preserve">TOP 25 sieci: 3 razy (W3/W6/W12)</t>
  </si>
  <si>
    <t xml:space="preserve">Head of Buying</t>
  </si>
  <si>
    <t xml:space="preserve">Potwierdzenia udziału</t>
  </si>
  <si>
    <t xml:space="preserve">Seria '20 lat Fresh Market'</t>
  </si>
  <si>
    <t xml:space="preserve">Storytelling + nostalgia</t>
  </si>
  <si>
    <t xml:space="preserve">~40 grafik archiwalnych (1080×1350 LinkedIn)</t>
  </si>
  <si>
    <t xml:space="preserve">2–3 grafiki/tydzień (W2–W19)</t>
  </si>
  <si>
    <t xml:space="preserve">Dostawcy + alumni</t>
  </si>
  <si>
    <t xml:space="preserve">Engagement rate (like/share)</t>
  </si>
  <si>
    <t xml:space="preserve">Portal fresh-market.pl</t>
  </si>
  <si>
    <t xml:space="preserve">SEO + banner dla sponsorów</t>
  </si>
  <si>
    <t xml:space="preserve">Artykuły zapowiedzi + banner sponsora generalnego</t>
  </si>
  <si>
    <t xml:space="preserve">2 artykuły/mies. + banner 200×300 px ciągły</t>
  </si>
  <si>
    <t xml:space="preserve">Branża fresh produce</t>
  </si>
  <si>
    <t xml:space="preserve">Unikalni użytkownicy, kliknięcia</t>
  </si>
  <si>
    <t xml:space="preserve">PR branżowy</t>
  </si>
  <si>
    <t xml:space="preserve">Patronaty + artykuły</t>
  </si>
  <si>
    <t xml:space="preserve">Bezpośredni kontakt z mediami (portalspozywczy.pl, Sad Nowoczesny, Hasło Ogrodnicze)</t>
  </si>
  <si>
    <t xml:space="preserve">Wystarczy: W2 pitch, W10 update, W18 final</t>
  </si>
  <si>
    <t xml:space="preserve">Liczba publikacji, wzmianki</t>
  </si>
  <si>
    <t xml:space="preserve">Sprzedaż sponsorów</t>
  </si>
  <si>
    <t xml:space="preserve">Zamknięcie 6 pakietów</t>
  </si>
  <si>
    <t xml:space="preserve">Telefon + mail + spotkanie + prezentacja</t>
  </si>
  <si>
    <t xml:space="preserve">Push W6–W11 (intensywny), follow-up do W17</t>
  </si>
  <si>
    <t xml:space="preserve">TOP 50 firm w bazie</t>
  </si>
  <si>
    <t xml:space="preserve">Liczba podpisanych umów</t>
  </si>
  <si>
    <t xml:space="preserve">Materiały drukowane</t>
  </si>
  <si>
    <t xml:space="preserve">Wspomaganie eventu</t>
  </si>
  <si>
    <t xml:space="preserve">Folder FM2026, katalog, identyfikatory, torby, roll-ups</t>
  </si>
  <si>
    <t xml:space="preserve">Produkcja W17–W19</t>
  </si>
  <si>
    <t xml:space="preserve">Wszyscy uczestnicy</t>
  </si>
  <si>
    <t xml:space="preserve">Dostępność w dniu eventu</t>
  </si>
  <si>
    <t xml:space="preserve">SUMA (€)</t>
  </si>
  <si>
    <t xml:space="preserve">BUDŻET MARKETINGOWY — KAMPANIA DO EVENTU</t>
  </si>
  <si>
    <t xml:space="preserve">Niebieskie komórki (kolor niebieski) = input; zmień wartości i reszta się przeliczy.</t>
  </si>
  <si>
    <t xml:space="preserve">Kategoria</t>
  </si>
  <si>
    <t xml:space="preserve">Pozycja</t>
  </si>
  <si>
    <t xml:space="preserve">Komentarz</t>
  </si>
  <si>
    <t xml:space="preserve">Szacunek (€)</t>
  </si>
  <si>
    <t xml:space="preserve">% budżetu</t>
  </si>
  <si>
    <t xml:space="preserve">Miesiąc realizacji</t>
  </si>
  <si>
    <t xml:space="preserve">Reklama online</t>
  </si>
  <si>
    <t xml:space="preserve">Konwersja na bilet Business + brand</t>
  </si>
  <si>
    <t xml:space="preserve">kwi-wrz</t>
  </si>
  <si>
    <t xml:space="preserve">Google Ads Search</t>
  </si>
  <si>
    <t xml:space="preserve">Zimny ruch — słowa kluczowe branżowe</t>
  </si>
  <si>
    <t xml:space="preserve">Google Ads Display (retargeting)</t>
  </si>
  <si>
    <t xml:space="preserve">Dynamic retargeting freshmarket.eu</t>
  </si>
  <si>
    <t xml:space="preserve">E-mail marketing</t>
  </si>
  <si>
    <t xml:space="preserve">Narzędzie do wysyłki (Mailerlite/Mailchimp)</t>
  </si>
  <si>
    <t xml:space="preserve">Plan 6k kontaktów, ~10 wysyłek</t>
  </si>
  <si>
    <t xml:space="preserve">Treści i kreacje</t>
  </si>
  <si>
    <t xml:space="preserve">Seria 20 lat — produkcja</t>
  </si>
  <si>
    <t xml:space="preserve">Skanowanie zdjęć, praca w Photoshop, copywriting</t>
  </si>
  <si>
    <t xml:space="preserve">kwi-maj</t>
  </si>
  <si>
    <t xml:space="preserve">Wideo — wypowiedzi sieci</t>
  </si>
  <si>
    <t xml:space="preserve">2–3 krótkie wideo (kwiecień–czerwiec)</t>
  </si>
  <si>
    <t xml:space="preserve">maj-cze</t>
  </si>
  <si>
    <t xml:space="preserve">Fotografia event (dzień eventu)</t>
  </si>
  <si>
    <t xml:space="preserve">Fotograf + edycja</t>
  </si>
  <si>
    <t xml:space="preserve">wrz</t>
  </si>
  <si>
    <t xml:space="preserve">Dystrybucja PR (opcjonalnie płatna)</t>
  </si>
  <si>
    <t xml:space="preserve">Artykuły sponsorowane branżowe</t>
  </si>
  <si>
    <t xml:space="preserve">cze-sie</t>
  </si>
  <si>
    <t xml:space="preserve">Folder FM2026 (druk)</t>
  </si>
  <si>
    <t xml:space="preserve">A5/A4, 350 egz.</t>
  </si>
  <si>
    <t xml:space="preserve">Katalog FM2026/27</t>
  </si>
  <si>
    <t xml:space="preserve">Wersja drukowana + PDF</t>
  </si>
  <si>
    <t xml:space="preserve">Identyfikatory + smycze</t>
  </si>
  <si>
    <t xml:space="preserve">350 osób</t>
  </si>
  <si>
    <t xml:space="preserve">Torby wydarzeniowe</t>
  </si>
  <si>
    <t xml:space="preserve">350 szt. z logo</t>
  </si>
  <si>
    <t xml:space="preserve">sie</t>
  </si>
  <si>
    <t xml:space="preserve">Roll-upy + banery</t>
  </si>
  <si>
    <t xml:space="preserve">Event + stoiska</t>
  </si>
  <si>
    <t xml:space="preserve">Narzędzia / licencje</t>
  </si>
  <si>
    <t xml:space="preserve">Subskrypcje AI (ChatGPT/Claude/Cowork)</t>
  </si>
  <si>
    <t xml:space="preserve">Wsparcie operacyjne</t>
  </si>
  <si>
    <t xml:space="preserve">Planer / CRM (Notion, Airtable)</t>
  </si>
  <si>
    <t xml:space="preserve">Zarządzanie kampanią</t>
  </si>
  <si>
    <t xml:space="preserve">Rezerwa</t>
  </si>
  <si>
    <t xml:space="preserve">Budżet awaryjny (10%)</t>
  </si>
  <si>
    <t xml:space="preserve">Na nieprzewidziane wydatki</t>
  </si>
  <si>
    <t xml:space="preserve">-</t>
  </si>
  <si>
    <t xml:space="preserve">SUMA</t>
  </si>
  <si>
    <t xml:space="preserve">PRZYCHÓD ZE SPONSORÓW (porównanie)</t>
  </si>
  <si>
    <t xml:space="preserve">Pakiet</t>
  </si>
  <si>
    <t xml:space="preserve">Cena (€)</t>
  </si>
  <si>
    <t xml:space="preserve">Zakładana liczba</t>
  </si>
  <si>
    <t xml:space="preserve">Przychód (€)</t>
  </si>
  <si>
    <t xml:space="preserve">Sponsor Eventu</t>
  </si>
  <si>
    <t xml:space="preserve">Sponsor Business Meetings</t>
  </si>
  <si>
    <t xml:space="preserve">Sponsor Generalny</t>
  </si>
  <si>
    <t xml:space="preserve">Razem przychód</t>
  </si>
  <si>
    <t xml:space="preserve">Netto (sponsorzy − budżet marketingu)</t>
  </si>
  <si>
    <t xml:space="preserve">PLAN TREŚCI I KREACJI — LINKEDIN + MAIL + GRAFIKI</t>
  </si>
  <si>
    <t xml:space="preserve">Nr</t>
  </si>
  <si>
    <t xml:space="preserve">Typ</t>
  </si>
  <si>
    <t xml:space="preserve">Tytuł / Temat</t>
  </si>
  <si>
    <t xml:space="preserve">Tydzień publikacji</t>
  </si>
  <si>
    <t xml:space="preserve">LinkedIn post</t>
  </si>
  <si>
    <t xml:space="preserve">Rejestracja Fresh Market 2026 otwarta — Early Bird do 31.07</t>
  </si>
  <si>
    <t xml:space="preserve">Single image 1080×1350</t>
  </si>
  <si>
    <t xml:space="preserve">Draft</t>
  </si>
  <si>
    <t xml:space="preserve">LinkedIn carousel</t>
  </si>
  <si>
    <t xml:space="preserve">Standard vs Business — co wybrać</t>
  </si>
  <si>
    <t xml:space="preserve">Karuzela 5 slajdów</t>
  </si>
  <si>
    <t xml:space="preserve">Pending</t>
  </si>
  <si>
    <t xml:space="preserve">LinkedIn post — seria</t>
  </si>
  <si>
    <t xml:space="preserve">2008 · Mega Fresh — 'Gdy rynek warzyw dopiero nabierał skali'</t>
  </si>
  <si>
    <t xml:space="preserve">Ready</t>
  </si>
  <si>
    <t xml:space="preserve">2008 · Tajfun — 'Gdy sałaty pakowane przyjechały z Włoch'</t>
  </si>
  <si>
    <t xml:space="preserve">Dlaczego Fresh Market to nie są targi — 1 dzień B2B</t>
  </si>
  <si>
    <t xml:space="preserve">Video 60s</t>
  </si>
  <si>
    <t xml:space="preserve">2009 · Cymes — 'Początki nowoczesnej logistyki świeżej'</t>
  </si>
  <si>
    <t xml:space="preserve">E-mail #1</t>
  </si>
  <si>
    <t xml:space="preserve">Zapraszamy na 20. edycję Fresh Market</t>
  </si>
  <si>
    <t xml:space="preserve">HTML newsletter</t>
  </si>
  <si>
    <t xml:space="preserve">E-mail #2</t>
  </si>
  <si>
    <t xml:space="preserve">Jak działa matchmaking — Business ticket</t>
  </si>
  <si>
    <t xml:space="preserve">E-mail #3</t>
  </si>
  <si>
    <t xml:space="preserve">Kto już potwierdził (lista na żywo)</t>
  </si>
  <si>
    <t xml:space="preserve">Potwierdzenie sieci #1 (np. Biedronka)</t>
  </si>
  <si>
    <t xml:space="preserve">Single image + logo</t>
  </si>
  <si>
    <t xml:space="preserve">2010 · Agro-Paprix — 'Pierwsza międzynarodowa logistyka kwiatowa'</t>
  </si>
  <si>
    <t xml:space="preserve">E-mail #4</t>
  </si>
  <si>
    <t xml:space="preserve">Reminder Early Bird — czas limitowany</t>
  </si>
  <si>
    <t xml:space="preserve">Pakiety sponsorskie — jedna strona</t>
  </si>
  <si>
    <t xml:space="preserve">Karuzela 4 slajdy</t>
  </si>
  <si>
    <t xml:space="preserve">Mailing sponsorski</t>
  </si>
  <si>
    <t xml:space="preserve">Pakiet sponsorski = widoczność u 6 000 firm</t>
  </si>
  <si>
    <t xml:space="preserve">HTML + PDF pakiety</t>
  </si>
  <si>
    <t xml:space="preserve">Case study: kontrakt po FM2024</t>
  </si>
  <si>
    <t xml:space="preserve">Video 90s</t>
  </si>
  <si>
    <t xml:space="preserve">Jak przygotować się do matchmakingu (checklista)</t>
  </si>
  <si>
    <t xml:space="preserve">Karuzela 6 slajdów</t>
  </si>
  <si>
    <t xml:space="preserve">E-mail #5</t>
  </si>
  <si>
    <t xml:space="preserve">Co zabrać na Fresh Market — praktyczny przewodnik</t>
  </si>
  <si>
    <t xml:space="preserve">Countdown Early Bird — 15 dni</t>
  </si>
  <si>
    <t xml:space="preserve">Single image + countdown</t>
  </si>
  <si>
    <t xml:space="preserve">E-mail #6</t>
  </si>
  <si>
    <t xml:space="preserve">Early Bird kończy się za 7 dni</t>
  </si>
  <si>
    <t xml:space="preserve">Podsumowanie Early Bird — rejestracja wciąż otwarta</t>
  </si>
  <si>
    <t xml:space="preserve">Single image</t>
  </si>
  <si>
    <t xml:space="preserve">Trendy fresh produce (artykuł merytoryczny)</t>
  </si>
  <si>
    <t xml:space="preserve">Long-form text post</t>
  </si>
  <si>
    <t xml:space="preserve">Wracamy z urlopów — 6 tygodni do eventu</t>
  </si>
  <si>
    <t xml:space="preserve">E-mail #7</t>
  </si>
  <si>
    <t xml:space="preserve">Zostało 5 tygodni — sprawdź listę sieci</t>
  </si>
  <si>
    <t xml:space="preserve">Speed Dating reveal — co to i jak działa</t>
  </si>
  <si>
    <t xml:space="preserve">Video 45s</t>
  </si>
  <si>
    <t xml:space="preserve">Agenda dnia eventu</t>
  </si>
  <si>
    <t xml:space="preserve">Single image + infografika</t>
  </si>
  <si>
    <t xml:space="preserve">E-mail #8</t>
  </si>
  <si>
    <t xml:space="preserve">Agenda + wstępna lista sieci</t>
  </si>
  <si>
    <t xml:space="preserve">Mapa stoisk + highlight sponsorów</t>
  </si>
  <si>
    <t xml:space="preserve">E-mail #9</t>
  </si>
  <si>
    <t xml:space="preserve">Odbiór biletu + materiały na event</t>
  </si>
  <si>
    <t xml:space="preserve">PEŁNA lista sieci + countdown 7 dni</t>
  </si>
  <si>
    <t xml:space="preserve">E-mail #10</t>
  </si>
  <si>
    <t xml:space="preserve">Finalna lista sieci + logistyka</t>
  </si>
  <si>
    <t xml:space="preserve">LinkedIn live</t>
  </si>
  <si>
    <t xml:space="preserve">Live z eventu (sesje, atmosfera)</t>
  </si>
  <si>
    <t xml:space="preserve">LinkedIn live stream</t>
  </si>
  <si>
    <t xml:space="preserve">LinkedIn post — reportaż</t>
  </si>
  <si>
    <t xml:space="preserve">Podsumowanie FM2026 — zdjęcia, podziękowania</t>
  </si>
  <si>
    <t xml:space="preserve">Karuzela zdjęć + text</t>
  </si>
  <si>
    <t xml:space="preserve">ZADANIA ZESPOŁU — ARTHUR (SOLO) · LISTA 'JEDEN NA DZIŚ'</t>
  </si>
  <si>
    <t xml:space="preserve">Zasada: max 3 rzeczy/tydzień. Jeśli coś jest na 'jutro' 3× z rzędu — usuń lub delegujemy do narzędzia AI.</t>
  </si>
  <si>
    <t xml:space="preserve">Zadanie</t>
  </si>
  <si>
    <t xml:space="preserve">Priorytet</t>
  </si>
  <si>
    <t xml:space="preserve">Deadline</t>
  </si>
  <si>
    <t xml:space="preserve">Ustawić kampanię Google Ads retargeting (piksel na /registration)</t>
  </si>
  <si>
    <t xml:space="preserve">Wysoki</t>
  </si>
  <si>
    <t xml:space="preserve">05.04.2026</t>
  </si>
  <si>
    <t xml:space="preserve">Master template w Photoshop (1080×1350)</t>
  </si>
  <si>
    <t xml:space="preserve">Pierwsza wysyłka do bazy 6k</t>
  </si>
  <si>
    <t xml:space="preserve">W2-W4</t>
  </si>
  <si>
    <t xml:space="preserve">Produkcja pierwszej partii grafik 20 lat (12 sztuk: 2008-2011)</t>
  </si>
  <si>
    <t xml:space="preserve">26.04.2026</t>
  </si>
  <si>
    <t xml:space="preserve">W toku</t>
  </si>
  <si>
    <t xml:space="preserve">Mailing 1:1 do TOP 25 sieci handlowych</t>
  </si>
  <si>
    <t xml:space="preserve">Krytyczny</t>
  </si>
  <si>
    <t xml:space="preserve">19.04.2026</t>
  </si>
  <si>
    <t xml:space="preserve">Pierwsza karuzela LinkedIn: Standard vs Business</t>
  </si>
  <si>
    <t xml:space="preserve">Średni</t>
  </si>
  <si>
    <t xml:space="preserve">Uruchomienie kampanii LinkedIn Ads (konwersja Business)</t>
  </si>
  <si>
    <t xml:space="preserve">03.05.2026</t>
  </si>
  <si>
    <t xml:space="preserve">Pitch sponsorski do TOP 50 firm</t>
  </si>
  <si>
    <t xml:space="preserve">10.05.2026</t>
  </si>
  <si>
    <t xml:space="preserve">W6-W8</t>
  </si>
  <si>
    <t xml:space="preserve">Nagrania wideo: 2-3 wypowiedzi sieci/dostawców</t>
  </si>
  <si>
    <t xml:space="preserve">24.05.2026</t>
  </si>
  <si>
    <t xml:space="preserve">Carousel 'Przygotuj się do matchmakingu'</t>
  </si>
  <si>
    <t xml:space="preserve">Push Early Bird — countdown + budżet +50%</t>
  </si>
  <si>
    <t xml:space="preserve">07.06.2026</t>
  </si>
  <si>
    <t xml:space="preserve">Ostatni tydzień Early Bird — codzienny post</t>
  </si>
  <si>
    <t xml:space="preserve">26.07.2026</t>
  </si>
  <si>
    <t xml:space="preserve">Podsumowanie Early Bird + analiza lejka</t>
  </si>
  <si>
    <t xml:space="preserve">02.08.2026</t>
  </si>
  <si>
    <t xml:space="preserve">PR branżowy — update do mediów</t>
  </si>
  <si>
    <t xml:space="preserve">09.08.2026</t>
  </si>
  <si>
    <t xml:space="preserve">Negocjacje finalne z niepotwierdzonymi sieciami</t>
  </si>
  <si>
    <t xml:space="preserve">23.08.2026</t>
  </si>
  <si>
    <t xml:space="preserve">Zamówienie druku: folder, katalog, identyfikatory, torby</t>
  </si>
  <si>
    <t xml:space="preserve">06.09.2026</t>
  </si>
  <si>
    <t xml:space="preserve">Mapa stoisk — finalna</t>
  </si>
  <si>
    <t xml:space="preserve">13.09.2026</t>
  </si>
  <si>
    <t xml:space="preserve">Generalna próba logistyki + briefing</t>
  </si>
  <si>
    <t xml:space="preserve">20.09.2026</t>
  </si>
  <si>
    <t xml:space="preserve">DZIEŃ EVENTU — 24.09.2026</t>
  </si>
  <si>
    <t xml:space="preserve">24.09.2026</t>
  </si>
  <si>
    <t xml:space="preserve">Post-event: reportaż, podziękowania, NPS</t>
  </si>
  <si>
    <t xml:space="preserve">01.10.2026</t>
  </si>
  <si>
    <t xml:space="preserve">KPI TRACKER — TYGODNIOWY (W1 → W21)</t>
  </si>
  <si>
    <t xml:space="preserve">Rejestracje STANDARD</t>
  </si>
  <si>
    <t xml:space="preserve">Rejestracje BUSINESS</t>
  </si>
  <si>
    <t xml:space="preserve">Sieci potwierdzone</t>
  </si>
  <si>
    <t xml:space="preserve">Dystryb. potwierdzeni</t>
  </si>
  <si>
    <t xml:space="preserve">Sponsorzy zamknięci</t>
  </si>
  <si>
    <t xml:space="preserve">Zasięg LinkedIn</t>
  </si>
  <si>
    <t xml:space="preserve">SUMA / MAX</t>
  </si>
  <si>
    <t xml:space="preserve">TARGET (z Przeglądu)</t>
  </si>
  <si>
    <t xml:space="preserve">Realizacja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</si>
</sst>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&quot;€ &quot;#,##0;&quot;(€ &quot;#,##0\);\-"/>
    <numFmt numFmtId="167" formatCode="&quot;€ &quot;#,##0"/>
    <numFmt numFmtId="168" formatCode="0.0%"/>
    <numFmt numFmtId="169" formatCode="&quot;€ &quot;#,##0;[RED]&quot;(€ &quot;#,##0\)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1F7A3A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1F7A3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10"/>
      <color rgb="FF1F7A3A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7A3A"/>
        <bgColor rgb="FF008080"/>
      </patternFill>
    </fill>
    <fill>
      <patternFill patternType="solid">
        <fgColor rgb="FFF6FBF3"/>
        <bgColor rgb="FFFFFFFF"/>
      </patternFill>
    </fill>
    <fill>
      <patternFill patternType="solid">
        <fgColor rgb="FF7CB342"/>
        <bgColor rgb="FF969696"/>
      </patternFill>
    </fill>
    <fill>
      <patternFill patternType="solid">
        <fgColor rgb="FFF2F2F2"/>
        <bgColor rgb="FFF6FBF3"/>
      </patternFill>
    </fill>
    <fill>
      <patternFill patternType="solid">
        <fgColor rgb="FFFFF2CC"/>
        <bgColor rgb="FFE8F3E1"/>
      </patternFill>
    </fill>
    <fill>
      <patternFill patternType="solid">
        <fgColor rgb="FFE8F3E1"/>
        <bgColor rgb="FFF2F2F2"/>
      </patternFill>
    </fill>
    <fill>
      <patternFill patternType="solid">
        <fgColor rgb="FFF8CBA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4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7A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E8F3E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3A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BF3"/>
      <rgbColor rgb="FFE8F3E1"/>
      <rgbColor rgb="FFFFFF99"/>
      <rgbColor rgb="FF99CCFF"/>
      <rgbColor rgb="FFFF99CC"/>
      <rgbColor rgb="FFCC99FF"/>
      <rgbColor rgb="FFF8CBAD"/>
      <rgbColor rgb="FF3366FF"/>
      <rgbColor rgb="FF33CCCC"/>
      <rgbColor rgb="FF7CB342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30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</row>
    <row r="3" customFormat="false" ht="60" hidden="false" customHeight="true" outlineLevel="0" collapsed="false">
      <c r="A3" s="2" t="s">
        <v>1</v>
      </c>
      <c r="B3" s="3" t="s">
        <v>2</v>
      </c>
      <c r="C3" s="3"/>
      <c r="D3" s="3"/>
      <c r="E3" s="3"/>
    </row>
    <row r="4" customFormat="false" ht="60" hidden="false" customHeight="true" outlineLevel="0" collapsed="false">
      <c r="A4" s="2" t="s">
        <v>3</v>
      </c>
      <c r="B4" s="3" t="s">
        <v>4</v>
      </c>
      <c r="C4" s="3"/>
      <c r="D4" s="3"/>
      <c r="E4" s="3"/>
    </row>
    <row r="5" customFormat="false" ht="60" hidden="false" customHeight="true" outlineLevel="0" collapsed="false">
      <c r="A5" s="2" t="s">
        <v>5</v>
      </c>
      <c r="B5" s="3" t="s">
        <v>6</v>
      </c>
      <c r="C5" s="3"/>
      <c r="D5" s="3"/>
      <c r="E5" s="3"/>
    </row>
    <row r="6" customFormat="false" ht="60" hidden="false" customHeight="true" outlineLevel="0" collapsed="false">
      <c r="A6" s="2" t="s">
        <v>7</v>
      </c>
      <c r="B6" s="3" t="s">
        <v>8</v>
      </c>
      <c r="C6" s="3"/>
      <c r="D6" s="3"/>
      <c r="E6" s="3"/>
    </row>
    <row r="7" customFormat="false" ht="60" hidden="false" customHeight="true" outlineLevel="0" collapsed="false">
      <c r="A7" s="2" t="s">
        <v>9</v>
      </c>
      <c r="B7" s="3" t="s">
        <v>10</v>
      </c>
      <c r="C7" s="3"/>
      <c r="D7" s="3"/>
      <c r="E7" s="3"/>
    </row>
    <row r="8" customFormat="false" ht="60" hidden="false" customHeight="true" outlineLevel="0" collapsed="false">
      <c r="A8" s="2" t="s">
        <v>11</v>
      </c>
      <c r="B8" s="3" t="s">
        <v>12</v>
      </c>
      <c r="C8" s="3"/>
      <c r="D8" s="3"/>
      <c r="E8" s="3"/>
    </row>
    <row r="9" customFormat="false" ht="60" hidden="false" customHeight="true" outlineLevel="0" collapsed="false">
      <c r="A9" s="2" t="s">
        <v>13</v>
      </c>
      <c r="B9" s="3" t="s">
        <v>14</v>
      </c>
      <c r="C9" s="3"/>
      <c r="D9" s="3"/>
      <c r="E9" s="3"/>
    </row>
    <row r="10" customFormat="false" ht="60" hidden="false" customHeight="true" outlineLevel="0" collapsed="false">
      <c r="A10" s="2" t="s">
        <v>15</v>
      </c>
      <c r="B10" s="3" t="s">
        <v>16</v>
      </c>
      <c r="C10" s="3"/>
      <c r="D10" s="3"/>
      <c r="E10" s="3"/>
    </row>
  </sheetData>
  <mergeCells count="9">
    <mergeCell ref="A1:E1"/>
    <mergeCell ref="B3:E3"/>
    <mergeCell ref="B4:E4"/>
    <mergeCell ref="B5:E5"/>
    <mergeCell ref="B6:E6"/>
    <mergeCell ref="B7:E7"/>
    <mergeCell ref="B8:E8"/>
    <mergeCell ref="B9:E9"/>
    <mergeCell ref="B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2"/>
    <col collapsed="false" customWidth="true" hidden="false" outlineLevel="0" max="3" min="3" style="0" width="32"/>
    <col collapsed="false" customWidth="true" hidden="false" outlineLevel="0" max="5" min="4" style="0" width="14"/>
    <col collapsed="false" customWidth="true" hidden="false" outlineLevel="0" max="6" min="6" style="0" width="18"/>
  </cols>
  <sheetData>
    <row r="1" customFormat="false" ht="39.75" hidden="false" customHeight="true" outlineLevel="0" collapsed="false">
      <c r="A1" s="4" t="s">
        <v>17</v>
      </c>
      <c r="B1" s="4"/>
      <c r="C1" s="4"/>
      <c r="D1" s="4"/>
      <c r="E1" s="4"/>
      <c r="F1" s="4"/>
    </row>
    <row r="2" customFormat="false" ht="27.75" hidden="false" customHeight="true" outlineLevel="0" collapsed="false">
      <c r="A2" s="5" t="s">
        <v>18</v>
      </c>
      <c r="B2" s="5"/>
      <c r="C2" s="5"/>
      <c r="D2" s="5"/>
      <c r="E2" s="5"/>
      <c r="F2" s="5"/>
    </row>
    <row r="4" customFormat="false" ht="15" hidden="false" customHeight="false" outlineLevel="0" collapsed="false">
      <c r="A4" s="6" t="s">
        <v>19</v>
      </c>
      <c r="B4" s="6"/>
      <c r="C4" s="6"/>
      <c r="D4" s="6"/>
      <c r="E4" s="6"/>
      <c r="F4" s="6"/>
    </row>
    <row r="5" customFormat="false" ht="21.75" hidden="false" customHeight="true" outlineLevel="0" collapsed="false">
      <c r="A5" s="7" t="s">
        <v>15</v>
      </c>
      <c r="B5" s="3" t="s">
        <v>20</v>
      </c>
      <c r="C5" s="3"/>
      <c r="D5" s="3"/>
      <c r="E5" s="3"/>
      <c r="F5" s="3"/>
    </row>
    <row r="6" customFormat="false" ht="21.75" hidden="false" customHeight="true" outlineLevel="0" collapsed="false">
      <c r="A6" s="7" t="s">
        <v>21</v>
      </c>
      <c r="B6" s="3" t="s">
        <v>22</v>
      </c>
      <c r="C6" s="3"/>
      <c r="D6" s="3"/>
      <c r="E6" s="3"/>
      <c r="F6" s="3"/>
    </row>
    <row r="7" customFormat="false" ht="21.75" hidden="false" customHeight="true" outlineLevel="0" collapsed="false">
      <c r="A7" s="7" t="s">
        <v>23</v>
      </c>
      <c r="B7" s="3" t="s">
        <v>24</v>
      </c>
      <c r="C7" s="3"/>
      <c r="D7" s="3"/>
      <c r="E7" s="3"/>
      <c r="F7" s="3"/>
    </row>
    <row r="8" customFormat="false" ht="21.75" hidden="false" customHeight="true" outlineLevel="0" collapsed="false">
      <c r="A8" s="7" t="s">
        <v>25</v>
      </c>
      <c r="B8" s="3" t="s">
        <v>26</v>
      </c>
      <c r="C8" s="3"/>
      <c r="D8" s="3"/>
      <c r="E8" s="3"/>
      <c r="F8" s="3"/>
    </row>
    <row r="9" customFormat="false" ht="21.75" hidden="false" customHeight="true" outlineLevel="0" collapsed="false">
      <c r="A9" s="7" t="s">
        <v>27</v>
      </c>
      <c r="B9" s="3" t="s">
        <v>28</v>
      </c>
      <c r="C9" s="3"/>
      <c r="D9" s="3"/>
      <c r="E9" s="3"/>
      <c r="F9" s="3"/>
    </row>
    <row r="10" customFormat="false" ht="21.75" hidden="false" customHeight="true" outlineLevel="0" collapsed="false">
      <c r="A10" s="7" t="s">
        <v>29</v>
      </c>
      <c r="B10" s="3" t="s">
        <v>30</v>
      </c>
      <c r="C10" s="3"/>
      <c r="D10" s="3"/>
      <c r="E10" s="3"/>
      <c r="F10" s="3"/>
    </row>
    <row r="11" customFormat="false" ht="21.75" hidden="false" customHeight="true" outlineLevel="0" collapsed="false">
      <c r="A11" s="7" t="s">
        <v>31</v>
      </c>
      <c r="B11" s="3" t="s">
        <v>32</v>
      </c>
      <c r="C11" s="3"/>
      <c r="D11" s="3"/>
      <c r="E11" s="3"/>
      <c r="F11" s="3"/>
    </row>
    <row r="12" customFormat="false" ht="21.75" hidden="false" customHeight="true" outlineLevel="0" collapsed="false">
      <c r="A12" s="7" t="s">
        <v>33</v>
      </c>
      <c r="B12" s="3" t="s">
        <v>34</v>
      </c>
      <c r="C12" s="3"/>
      <c r="D12" s="3"/>
      <c r="E12" s="3"/>
      <c r="F12" s="3"/>
    </row>
    <row r="13" customFormat="false" ht="21.75" hidden="false" customHeight="true" outlineLevel="0" collapsed="false">
      <c r="A13" s="7" t="s">
        <v>35</v>
      </c>
      <c r="B13" s="3" t="s">
        <v>36</v>
      </c>
      <c r="C13" s="3"/>
      <c r="D13" s="3"/>
      <c r="E13" s="3"/>
      <c r="F13" s="3"/>
    </row>
    <row r="14" customFormat="false" ht="21.75" hidden="false" customHeight="true" outlineLevel="0" collapsed="false">
      <c r="A14" s="7" t="s">
        <v>37</v>
      </c>
      <c r="B14" s="3" t="s">
        <v>38</v>
      </c>
      <c r="C14" s="3"/>
      <c r="D14" s="3"/>
      <c r="E14" s="3"/>
      <c r="F14" s="3"/>
    </row>
    <row r="15" customFormat="false" ht="21.75" hidden="false" customHeight="true" outlineLevel="0" collapsed="false">
      <c r="A15" s="7" t="s">
        <v>39</v>
      </c>
      <c r="B15" s="3" t="s">
        <v>40</v>
      </c>
      <c r="C15" s="3"/>
      <c r="D15" s="3"/>
      <c r="E15" s="3"/>
      <c r="F15" s="3"/>
    </row>
    <row r="16" customFormat="false" ht="21.75" hidden="false" customHeight="true" outlineLevel="0" collapsed="false">
      <c r="A16" s="7" t="s">
        <v>41</v>
      </c>
      <c r="B16" s="3" t="s">
        <v>42</v>
      </c>
      <c r="C16" s="3"/>
      <c r="D16" s="3"/>
      <c r="E16" s="3"/>
      <c r="F16" s="3"/>
    </row>
    <row r="17" customFormat="false" ht="21.75" hidden="false" customHeight="true" outlineLevel="0" collapsed="false">
      <c r="A17" s="7" t="s">
        <v>43</v>
      </c>
      <c r="B17" s="3" t="s">
        <v>44</v>
      </c>
      <c r="C17" s="3"/>
      <c r="D17" s="3"/>
      <c r="E17" s="3"/>
      <c r="F17" s="3"/>
    </row>
    <row r="18" customFormat="false" ht="21.75" hidden="false" customHeight="true" outlineLevel="0" collapsed="false">
      <c r="A18" s="7" t="s">
        <v>45</v>
      </c>
      <c r="B18" s="3" t="s">
        <v>46</v>
      </c>
      <c r="C18" s="3"/>
      <c r="D18" s="3"/>
      <c r="E18" s="3"/>
      <c r="F18" s="3"/>
    </row>
    <row r="20" customFormat="false" ht="15" hidden="false" customHeight="false" outlineLevel="0" collapsed="false">
      <c r="A20" s="6" t="s">
        <v>47</v>
      </c>
      <c r="B20" s="6"/>
      <c r="C20" s="6"/>
      <c r="D20" s="6"/>
      <c r="E20" s="6"/>
      <c r="F20" s="6"/>
    </row>
    <row r="21" customFormat="false" ht="31.5" hidden="false" customHeight="true" outlineLevel="0" collapsed="false">
      <c r="A21" s="8" t="s">
        <v>48</v>
      </c>
      <c r="B21" s="8" t="s">
        <v>49</v>
      </c>
      <c r="C21" s="8" t="s">
        <v>50</v>
      </c>
      <c r="D21" s="8" t="s">
        <v>51</v>
      </c>
      <c r="E21" s="8" t="s">
        <v>52</v>
      </c>
      <c r="F21" s="8" t="s">
        <v>53</v>
      </c>
    </row>
    <row r="22" customFormat="false" ht="15" hidden="false" customHeight="false" outlineLevel="0" collapsed="false">
      <c r="A22" s="9" t="n">
        <v>1</v>
      </c>
      <c r="B22" s="10" t="s">
        <v>54</v>
      </c>
      <c r="C22" s="10" t="s">
        <v>55</v>
      </c>
      <c r="D22" s="11" t="n">
        <v>350</v>
      </c>
      <c r="E22" s="11" t="n">
        <v>0</v>
      </c>
      <c r="F22" s="12" t="n">
        <f aca="false">D22-E22</f>
        <v>350</v>
      </c>
    </row>
    <row r="23" customFormat="false" ht="15" hidden="false" customHeight="false" outlineLevel="0" collapsed="false">
      <c r="A23" s="9" t="n">
        <v>2</v>
      </c>
      <c r="B23" s="10" t="s">
        <v>56</v>
      </c>
      <c r="C23" s="10" t="s">
        <v>57</v>
      </c>
      <c r="D23" s="11" t="n">
        <v>220</v>
      </c>
      <c r="E23" s="11" t="n">
        <v>0</v>
      </c>
      <c r="F23" s="12" t="n">
        <f aca="false">D23-E23</f>
        <v>220</v>
      </c>
    </row>
    <row r="24" customFormat="false" ht="15" hidden="false" customHeight="false" outlineLevel="0" collapsed="false">
      <c r="A24" s="9" t="n">
        <v>3</v>
      </c>
      <c r="B24" s="10" t="s">
        <v>58</v>
      </c>
      <c r="C24" s="10" t="s">
        <v>59</v>
      </c>
      <c r="D24" s="11" t="n">
        <v>25</v>
      </c>
      <c r="E24" s="11" t="n">
        <v>0</v>
      </c>
      <c r="F24" s="12" t="n">
        <f aca="false">D24-E24</f>
        <v>25</v>
      </c>
    </row>
    <row r="25" customFormat="false" ht="15" hidden="false" customHeight="false" outlineLevel="0" collapsed="false">
      <c r="A25" s="9" t="n">
        <v>4</v>
      </c>
      <c r="B25" s="10" t="s">
        <v>60</v>
      </c>
      <c r="C25" s="10" t="s">
        <v>61</v>
      </c>
      <c r="D25" s="11" t="n">
        <v>20</v>
      </c>
      <c r="E25" s="11" t="n">
        <v>0</v>
      </c>
      <c r="F25" s="12" t="n">
        <f aca="false">D25-E25</f>
        <v>20</v>
      </c>
    </row>
    <row r="26" customFormat="false" ht="15" hidden="false" customHeight="false" outlineLevel="0" collapsed="false">
      <c r="A26" s="9" t="n">
        <v>5</v>
      </c>
      <c r="B26" s="10" t="s">
        <v>62</v>
      </c>
      <c r="C26" s="10" t="s">
        <v>63</v>
      </c>
      <c r="D26" s="11" t="n">
        <v>6</v>
      </c>
      <c r="E26" s="11" t="n">
        <v>0</v>
      </c>
      <c r="F26" s="12" t="n">
        <f aca="false">D26-E26</f>
        <v>6</v>
      </c>
    </row>
    <row r="27" customFormat="false" ht="15" hidden="false" customHeight="false" outlineLevel="0" collapsed="false">
      <c r="A27" s="9" t="n">
        <v>6</v>
      </c>
      <c r="B27" s="10" t="s">
        <v>64</v>
      </c>
      <c r="C27" s="10" t="s">
        <v>65</v>
      </c>
      <c r="D27" s="11" t="n">
        <v>120</v>
      </c>
      <c r="E27" s="11" t="n">
        <v>0</v>
      </c>
      <c r="F27" s="12" t="n">
        <f aca="false">D27-E27</f>
        <v>120</v>
      </c>
    </row>
    <row r="28" customFormat="false" ht="15" hidden="false" customHeight="false" outlineLevel="0" collapsed="false">
      <c r="A28" s="9" t="n">
        <v>7</v>
      </c>
      <c r="B28" s="10" t="s">
        <v>66</v>
      </c>
      <c r="C28" s="10" t="s">
        <v>67</v>
      </c>
      <c r="D28" s="11" t="n">
        <v>250000</v>
      </c>
      <c r="E28" s="11" t="n">
        <v>0</v>
      </c>
      <c r="F28" s="12" t="n">
        <f aca="false">D28-E28</f>
        <v>250000</v>
      </c>
    </row>
    <row r="29" customFormat="false" ht="15" hidden="false" customHeight="false" outlineLevel="0" collapsed="false">
      <c r="A29" s="9" t="n">
        <v>8</v>
      </c>
      <c r="B29" s="10" t="s">
        <v>68</v>
      </c>
      <c r="C29" s="10" t="s">
        <v>69</v>
      </c>
      <c r="D29" s="11" t="n">
        <v>600</v>
      </c>
      <c r="E29" s="11" t="n">
        <v>0</v>
      </c>
      <c r="F29" s="12" t="n">
        <f aca="false">D29-E29</f>
        <v>600</v>
      </c>
    </row>
  </sheetData>
  <mergeCells count="18">
    <mergeCell ref="A1:F1"/>
    <mergeCell ref="A2:F2"/>
    <mergeCell ref="A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4" min="3" style="0" width="22"/>
    <col collapsed="false" customWidth="true" hidden="false" outlineLevel="0" max="5" min="5" style="0" width="50"/>
    <col collapsed="false" customWidth="true" hidden="false" outlineLevel="0" max="6" min="6" style="0" width="32"/>
  </cols>
  <sheetData>
    <row r="1" customFormat="false" ht="33.75" hidden="false" customHeight="true" outlineLevel="0" collapsed="false">
      <c r="A1" s="13" t="s">
        <v>70</v>
      </c>
      <c r="B1" s="13"/>
      <c r="C1" s="13"/>
      <c r="D1" s="13"/>
      <c r="E1" s="13"/>
      <c r="F1" s="13"/>
    </row>
    <row r="3" customFormat="false" ht="31.5" hidden="false" customHeight="true" outlineLevel="0" collapsed="false">
      <c r="A3" s="8" t="s">
        <v>71</v>
      </c>
      <c r="B3" s="8" t="s">
        <v>72</v>
      </c>
      <c r="C3" s="8" t="s">
        <v>73</v>
      </c>
      <c r="D3" s="8" t="s">
        <v>74</v>
      </c>
      <c r="E3" s="8" t="s">
        <v>75</v>
      </c>
      <c r="F3" s="8" t="s">
        <v>76</v>
      </c>
    </row>
    <row r="4" customFormat="false" ht="55.5" hidden="false" customHeight="true" outlineLevel="0" collapsed="false">
      <c r="A4" s="10" t="s">
        <v>77</v>
      </c>
      <c r="B4" s="10" t="s">
        <v>78</v>
      </c>
      <c r="C4" s="10" t="s">
        <v>79</v>
      </c>
      <c r="D4" s="10" t="s">
        <v>80</v>
      </c>
      <c r="E4" s="10" t="s">
        <v>81</v>
      </c>
      <c r="F4" s="10" t="s">
        <v>82</v>
      </c>
    </row>
    <row r="5" customFormat="false" ht="55.5" hidden="false" customHeight="true" outlineLevel="0" collapsed="false">
      <c r="A5" s="10" t="s">
        <v>83</v>
      </c>
      <c r="B5" s="10" t="s">
        <v>84</v>
      </c>
      <c r="C5" s="10" t="s">
        <v>85</v>
      </c>
      <c r="D5" s="10" t="s">
        <v>86</v>
      </c>
      <c r="E5" s="10" t="s">
        <v>87</v>
      </c>
      <c r="F5" s="10" t="s">
        <v>88</v>
      </c>
    </row>
    <row r="6" customFormat="false" ht="55.5" hidden="false" customHeight="true" outlineLevel="0" collapsed="false">
      <c r="A6" s="10" t="s">
        <v>89</v>
      </c>
      <c r="B6" s="10" t="s">
        <v>90</v>
      </c>
      <c r="C6" s="10" t="s">
        <v>91</v>
      </c>
      <c r="D6" s="10" t="s">
        <v>92</v>
      </c>
      <c r="E6" s="10" t="s">
        <v>93</v>
      </c>
      <c r="F6" s="10" t="s">
        <v>94</v>
      </c>
    </row>
    <row r="7" customFormat="false" ht="55.5" hidden="false" customHeight="true" outlineLevel="0" collapsed="false">
      <c r="A7" s="10" t="s">
        <v>95</v>
      </c>
      <c r="B7" s="10" t="s">
        <v>96</v>
      </c>
      <c r="C7" s="10" t="s">
        <v>97</v>
      </c>
      <c r="D7" s="10" t="s">
        <v>98</v>
      </c>
      <c r="E7" s="10" t="s">
        <v>99</v>
      </c>
      <c r="F7" s="10" t="s">
        <v>100</v>
      </c>
    </row>
    <row r="8" customFormat="false" ht="55.5" hidden="false" customHeight="true" outlineLevel="0" collapsed="false">
      <c r="A8" s="10" t="s">
        <v>101</v>
      </c>
      <c r="B8" s="10" t="s">
        <v>102</v>
      </c>
      <c r="C8" s="10" t="s">
        <v>79</v>
      </c>
      <c r="D8" s="10" t="s">
        <v>103</v>
      </c>
      <c r="E8" s="10" t="s">
        <v>104</v>
      </c>
      <c r="F8" s="10" t="s">
        <v>105</v>
      </c>
    </row>
    <row r="9" customFormat="false" ht="55.5" hidden="false" customHeight="true" outlineLevel="0" collapsed="false">
      <c r="A9" s="10" t="s">
        <v>106</v>
      </c>
      <c r="B9" s="10" t="s">
        <v>107</v>
      </c>
      <c r="C9" s="10" t="s">
        <v>108</v>
      </c>
      <c r="D9" s="10" t="s">
        <v>109</v>
      </c>
      <c r="E9" s="10" t="s">
        <v>110</v>
      </c>
      <c r="F9" s="10" t="s">
        <v>111</v>
      </c>
    </row>
    <row r="10" customFormat="false" ht="55.5" hidden="false" customHeight="true" outlineLevel="0" collapsed="false">
      <c r="A10" s="10" t="s">
        <v>112</v>
      </c>
      <c r="B10" s="10" t="s">
        <v>113</v>
      </c>
      <c r="C10" s="10" t="s">
        <v>114</v>
      </c>
      <c r="D10" s="10" t="s">
        <v>115</v>
      </c>
      <c r="E10" s="10" t="s">
        <v>116</v>
      </c>
      <c r="F10" s="10" t="s">
        <v>117</v>
      </c>
    </row>
  </sheetData>
  <autoFilter ref="A3:F10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32"/>
    <col collapsed="false" customWidth="true" hidden="false" outlineLevel="0" max="6" min="6" style="0" width="36"/>
    <col collapsed="false" customWidth="true" hidden="false" outlineLevel="0" max="7" min="7" style="0" width="22"/>
    <col collapsed="false" customWidth="true" hidden="false" outlineLevel="0" max="8" min="8" style="0" width="34"/>
    <col collapsed="false" customWidth="true" hidden="false" outlineLevel="0" max="9" min="9" style="0" width="18"/>
  </cols>
  <sheetData>
    <row r="1" customFormat="false" ht="33.75" hidden="false" customHeight="true" outlineLevel="0" collapsed="false">
      <c r="A1" s="13" t="s">
        <v>118</v>
      </c>
      <c r="B1" s="13"/>
      <c r="C1" s="13"/>
      <c r="D1" s="13"/>
      <c r="E1" s="13"/>
      <c r="F1" s="13"/>
      <c r="G1" s="13"/>
      <c r="H1" s="13"/>
      <c r="I1" s="13"/>
    </row>
    <row r="3" customFormat="false" ht="31.5" hidden="false" customHeight="true" outlineLevel="0" collapsed="false">
      <c r="A3" s="8" t="s">
        <v>119</v>
      </c>
      <c r="B3" s="8" t="s">
        <v>120</v>
      </c>
      <c r="C3" s="8" t="s">
        <v>121</v>
      </c>
      <c r="D3" s="8" t="s">
        <v>122</v>
      </c>
      <c r="E3" s="8" t="s">
        <v>123</v>
      </c>
      <c r="F3" s="8" t="s">
        <v>124</v>
      </c>
      <c r="G3" s="8" t="s">
        <v>125</v>
      </c>
      <c r="H3" s="8" t="s">
        <v>126</v>
      </c>
      <c r="I3" s="8" t="s">
        <v>127</v>
      </c>
    </row>
    <row r="4" customFormat="false" ht="60" hidden="false" customHeight="true" outlineLevel="0" collapsed="false">
      <c r="A4" s="14" t="s">
        <v>128</v>
      </c>
      <c r="B4" s="14" t="s">
        <v>129</v>
      </c>
      <c r="C4" s="14" t="s">
        <v>130</v>
      </c>
      <c r="D4" s="14" t="s">
        <v>131</v>
      </c>
      <c r="E4" s="14" t="s">
        <v>132</v>
      </c>
      <c r="F4" s="14" t="s">
        <v>133</v>
      </c>
      <c r="G4" s="14" t="s">
        <v>134</v>
      </c>
      <c r="H4" s="14" t="s">
        <v>135</v>
      </c>
      <c r="I4" s="14" t="s">
        <v>136</v>
      </c>
    </row>
    <row r="5" customFormat="false" ht="60" hidden="false" customHeight="true" outlineLevel="0" collapsed="false">
      <c r="A5" s="14" t="s">
        <v>137</v>
      </c>
      <c r="B5" s="14" t="s">
        <v>138</v>
      </c>
      <c r="C5" s="14" t="s">
        <v>139</v>
      </c>
      <c r="D5" s="14" t="s">
        <v>140</v>
      </c>
      <c r="E5" s="14" t="s">
        <v>141</v>
      </c>
      <c r="F5" s="14" t="s">
        <v>142</v>
      </c>
      <c r="G5" s="14" t="s">
        <v>143</v>
      </c>
      <c r="H5" s="14" t="s">
        <v>144</v>
      </c>
      <c r="I5" s="14" t="s">
        <v>136</v>
      </c>
    </row>
    <row r="6" customFormat="false" ht="60" hidden="false" customHeight="true" outlineLevel="0" collapsed="false">
      <c r="A6" s="14" t="s">
        <v>145</v>
      </c>
      <c r="B6" s="14" t="s">
        <v>146</v>
      </c>
      <c r="C6" s="14" t="s">
        <v>147</v>
      </c>
      <c r="D6" s="14" t="s">
        <v>148</v>
      </c>
      <c r="E6" s="14" t="s">
        <v>149</v>
      </c>
      <c r="F6" s="14" t="s">
        <v>150</v>
      </c>
      <c r="G6" s="14" t="s">
        <v>151</v>
      </c>
      <c r="H6" s="14" t="s">
        <v>152</v>
      </c>
      <c r="I6" s="14" t="s">
        <v>136</v>
      </c>
    </row>
    <row r="7" customFormat="false" ht="60" hidden="false" customHeight="true" outlineLevel="0" collapsed="false">
      <c r="A7" s="15" t="s">
        <v>153</v>
      </c>
      <c r="B7" s="15" t="s">
        <v>154</v>
      </c>
      <c r="C7" s="15" t="s">
        <v>155</v>
      </c>
      <c r="D7" s="15" t="s">
        <v>156</v>
      </c>
      <c r="E7" s="15" t="s">
        <v>157</v>
      </c>
      <c r="F7" s="15" t="s">
        <v>158</v>
      </c>
      <c r="G7" s="15" t="s">
        <v>159</v>
      </c>
      <c r="H7" s="15" t="s">
        <v>160</v>
      </c>
      <c r="I7" s="15" t="s">
        <v>161</v>
      </c>
    </row>
    <row r="8" customFormat="false" ht="60" hidden="false" customHeight="true" outlineLevel="0" collapsed="false">
      <c r="A8" s="10" t="s">
        <v>162</v>
      </c>
      <c r="B8" s="10" t="s">
        <v>163</v>
      </c>
      <c r="C8" s="10" t="s">
        <v>164</v>
      </c>
      <c r="D8" s="10" t="s">
        <v>165</v>
      </c>
      <c r="E8" s="10" t="s">
        <v>166</v>
      </c>
      <c r="F8" s="10" t="s">
        <v>167</v>
      </c>
      <c r="G8" s="10" t="s">
        <v>168</v>
      </c>
      <c r="H8" s="10" t="s">
        <v>169</v>
      </c>
      <c r="I8" s="10" t="s">
        <v>170</v>
      </c>
    </row>
    <row r="9" customFormat="false" ht="60" hidden="false" customHeight="true" outlineLevel="0" collapsed="false">
      <c r="A9" s="10" t="s">
        <v>171</v>
      </c>
      <c r="B9" s="10" t="s">
        <v>172</v>
      </c>
      <c r="C9" s="10" t="s">
        <v>173</v>
      </c>
      <c r="D9" s="10" t="s">
        <v>174</v>
      </c>
      <c r="E9" s="10" t="s">
        <v>175</v>
      </c>
      <c r="F9" s="10" t="s">
        <v>176</v>
      </c>
      <c r="G9" s="10" t="s">
        <v>177</v>
      </c>
      <c r="H9" s="10" t="s">
        <v>178</v>
      </c>
      <c r="I9" s="10" t="s">
        <v>170</v>
      </c>
    </row>
    <row r="10" customFormat="false" ht="60" hidden="false" customHeight="true" outlineLevel="0" collapsed="false">
      <c r="A10" s="10" t="s">
        <v>179</v>
      </c>
      <c r="B10" s="10" t="s">
        <v>180</v>
      </c>
      <c r="C10" s="10" t="s">
        <v>181</v>
      </c>
      <c r="D10" s="10" t="s">
        <v>182</v>
      </c>
      <c r="E10" s="10" t="s">
        <v>183</v>
      </c>
      <c r="F10" s="10" t="s">
        <v>184</v>
      </c>
      <c r="G10" s="10" t="s">
        <v>185</v>
      </c>
      <c r="H10" s="10" t="s">
        <v>186</v>
      </c>
      <c r="I10" s="10" t="s">
        <v>170</v>
      </c>
    </row>
    <row r="11" customFormat="false" ht="60" hidden="false" customHeight="true" outlineLevel="0" collapsed="false">
      <c r="A11" s="10" t="s">
        <v>187</v>
      </c>
      <c r="B11" s="10" t="s">
        <v>188</v>
      </c>
      <c r="C11" s="10" t="s">
        <v>189</v>
      </c>
      <c r="D11" s="10" t="s">
        <v>190</v>
      </c>
      <c r="E11" s="10" t="s">
        <v>191</v>
      </c>
      <c r="F11" s="10" t="s">
        <v>192</v>
      </c>
      <c r="G11" s="10" t="s">
        <v>193</v>
      </c>
      <c r="H11" s="10" t="s">
        <v>194</v>
      </c>
      <c r="I11" s="10" t="s">
        <v>170</v>
      </c>
    </row>
    <row r="12" customFormat="false" ht="60" hidden="false" customHeight="true" outlineLevel="0" collapsed="false">
      <c r="A12" s="10" t="s">
        <v>195</v>
      </c>
      <c r="B12" s="10" t="s">
        <v>196</v>
      </c>
      <c r="C12" s="10" t="s">
        <v>197</v>
      </c>
      <c r="D12" s="10" t="s">
        <v>198</v>
      </c>
      <c r="E12" s="10" t="s">
        <v>199</v>
      </c>
      <c r="F12" s="10" t="s">
        <v>200</v>
      </c>
      <c r="G12" s="10" t="s">
        <v>201</v>
      </c>
      <c r="H12" s="10" t="s">
        <v>202</v>
      </c>
      <c r="I12" s="10" t="s">
        <v>170</v>
      </c>
    </row>
    <row r="13" customFormat="false" ht="60" hidden="false" customHeight="true" outlineLevel="0" collapsed="false">
      <c r="A13" s="10" t="s">
        <v>203</v>
      </c>
      <c r="B13" s="10" t="s">
        <v>204</v>
      </c>
      <c r="C13" s="10" t="s">
        <v>205</v>
      </c>
      <c r="D13" s="10" t="s">
        <v>206</v>
      </c>
      <c r="E13" s="10" t="s">
        <v>207</v>
      </c>
      <c r="F13" s="10" t="s">
        <v>208</v>
      </c>
      <c r="G13" s="10" t="s">
        <v>209</v>
      </c>
      <c r="H13" s="10" t="s">
        <v>210</v>
      </c>
      <c r="I13" s="10" t="s">
        <v>170</v>
      </c>
    </row>
    <row r="14" customFormat="false" ht="60" hidden="false" customHeight="true" outlineLevel="0" collapsed="false">
      <c r="A14" s="10" t="s">
        <v>211</v>
      </c>
      <c r="B14" s="10" t="s">
        <v>212</v>
      </c>
      <c r="C14" s="10" t="s">
        <v>213</v>
      </c>
      <c r="D14" s="10" t="s">
        <v>214</v>
      </c>
      <c r="E14" s="10" t="s">
        <v>215</v>
      </c>
      <c r="F14" s="10" t="s">
        <v>216</v>
      </c>
      <c r="G14" s="10" t="s">
        <v>217</v>
      </c>
      <c r="H14" s="10" t="s">
        <v>218</v>
      </c>
      <c r="I14" s="10" t="s">
        <v>170</v>
      </c>
    </row>
    <row r="15" customFormat="false" ht="60" hidden="false" customHeight="true" outlineLevel="0" collapsed="false">
      <c r="A15" s="10" t="s">
        <v>219</v>
      </c>
      <c r="B15" s="10" t="s">
        <v>220</v>
      </c>
      <c r="C15" s="10" t="s">
        <v>221</v>
      </c>
      <c r="D15" s="10" t="s">
        <v>222</v>
      </c>
      <c r="E15" s="10" t="s">
        <v>223</v>
      </c>
      <c r="F15" s="10" t="s">
        <v>224</v>
      </c>
      <c r="G15" s="10" t="s">
        <v>225</v>
      </c>
      <c r="H15" s="10" t="s">
        <v>226</v>
      </c>
      <c r="I15" s="10" t="s">
        <v>170</v>
      </c>
    </row>
    <row r="16" customFormat="false" ht="60" hidden="false" customHeight="true" outlineLevel="0" collapsed="false">
      <c r="A16" s="10" t="s">
        <v>227</v>
      </c>
      <c r="B16" s="10" t="s">
        <v>228</v>
      </c>
      <c r="C16" s="10" t="s">
        <v>229</v>
      </c>
      <c r="D16" s="10" t="s">
        <v>230</v>
      </c>
      <c r="E16" s="10" t="s">
        <v>231</v>
      </c>
      <c r="F16" s="10" t="s">
        <v>232</v>
      </c>
      <c r="G16" s="10" t="s">
        <v>233</v>
      </c>
      <c r="H16" s="10" t="s">
        <v>234</v>
      </c>
      <c r="I16" s="10" t="s">
        <v>170</v>
      </c>
    </row>
    <row r="17" customFormat="false" ht="60" hidden="false" customHeight="true" outlineLevel="0" collapsed="false">
      <c r="A17" s="10" t="s">
        <v>235</v>
      </c>
      <c r="B17" s="10" t="s">
        <v>236</v>
      </c>
      <c r="C17" s="10" t="s">
        <v>237</v>
      </c>
      <c r="D17" s="10" t="s">
        <v>238</v>
      </c>
      <c r="E17" s="10" t="s">
        <v>239</v>
      </c>
      <c r="F17" s="10" t="s">
        <v>240</v>
      </c>
      <c r="G17" s="10" t="s">
        <v>241</v>
      </c>
      <c r="H17" s="10" t="s">
        <v>242</v>
      </c>
      <c r="I17" s="10" t="s">
        <v>170</v>
      </c>
    </row>
    <row r="18" customFormat="false" ht="60" hidden="false" customHeight="true" outlineLevel="0" collapsed="false">
      <c r="A18" s="10" t="s">
        <v>243</v>
      </c>
      <c r="B18" s="10" t="s">
        <v>244</v>
      </c>
      <c r="C18" s="10" t="s">
        <v>245</v>
      </c>
      <c r="D18" s="10" t="s">
        <v>246</v>
      </c>
      <c r="E18" s="10" t="s">
        <v>247</v>
      </c>
      <c r="F18" s="10" t="s">
        <v>248</v>
      </c>
      <c r="G18" s="10" t="s">
        <v>249</v>
      </c>
      <c r="H18" s="10" t="s">
        <v>250</v>
      </c>
      <c r="I18" s="10" t="s">
        <v>170</v>
      </c>
    </row>
    <row r="19" customFormat="false" ht="60" hidden="false" customHeight="true" outlineLevel="0" collapsed="false">
      <c r="A19" s="10" t="s">
        <v>251</v>
      </c>
      <c r="B19" s="10" t="s">
        <v>252</v>
      </c>
      <c r="C19" s="10" t="s">
        <v>253</v>
      </c>
      <c r="D19" s="10" t="s">
        <v>254</v>
      </c>
      <c r="E19" s="10" t="s">
        <v>255</v>
      </c>
      <c r="F19" s="10" t="s">
        <v>256</v>
      </c>
      <c r="G19" s="10" t="s">
        <v>257</v>
      </c>
      <c r="H19" s="10" t="s">
        <v>258</v>
      </c>
      <c r="I19" s="10" t="s">
        <v>170</v>
      </c>
    </row>
    <row r="20" customFormat="false" ht="60" hidden="false" customHeight="true" outlineLevel="0" collapsed="false">
      <c r="A20" s="10" t="s">
        <v>259</v>
      </c>
      <c r="B20" s="10" t="s">
        <v>260</v>
      </c>
      <c r="C20" s="10" t="s">
        <v>261</v>
      </c>
      <c r="D20" s="10" t="s">
        <v>262</v>
      </c>
      <c r="E20" s="10" t="s">
        <v>263</v>
      </c>
      <c r="F20" s="10" t="s">
        <v>264</v>
      </c>
      <c r="G20" s="10" t="s">
        <v>265</v>
      </c>
      <c r="H20" s="10" t="s">
        <v>266</v>
      </c>
      <c r="I20" s="10" t="s">
        <v>170</v>
      </c>
    </row>
    <row r="21" customFormat="false" ht="60" hidden="false" customHeight="true" outlineLevel="0" collapsed="false">
      <c r="A21" s="10" t="s">
        <v>267</v>
      </c>
      <c r="B21" s="10" t="s">
        <v>268</v>
      </c>
      <c r="C21" s="10" t="s">
        <v>269</v>
      </c>
      <c r="D21" s="10" t="s">
        <v>270</v>
      </c>
      <c r="E21" s="10" t="s">
        <v>271</v>
      </c>
      <c r="F21" s="10" t="s">
        <v>272</v>
      </c>
      <c r="G21" s="10" t="s">
        <v>273</v>
      </c>
      <c r="H21" s="10" t="s">
        <v>274</v>
      </c>
      <c r="I21" s="10" t="s">
        <v>170</v>
      </c>
    </row>
    <row r="22" customFormat="false" ht="60" hidden="false" customHeight="true" outlineLevel="0" collapsed="false">
      <c r="A22" s="10" t="s">
        <v>275</v>
      </c>
      <c r="B22" s="10" t="s">
        <v>276</v>
      </c>
      <c r="C22" s="10" t="s">
        <v>277</v>
      </c>
      <c r="D22" s="10" t="s">
        <v>278</v>
      </c>
      <c r="E22" s="10" t="s">
        <v>279</v>
      </c>
      <c r="F22" s="10" t="s">
        <v>280</v>
      </c>
      <c r="G22" s="10" t="s">
        <v>281</v>
      </c>
      <c r="H22" s="10" t="s">
        <v>282</v>
      </c>
      <c r="I22" s="10" t="s">
        <v>170</v>
      </c>
    </row>
    <row r="23" customFormat="false" ht="60" hidden="false" customHeight="true" outlineLevel="0" collapsed="false">
      <c r="A23" s="10" t="s">
        <v>283</v>
      </c>
      <c r="B23" s="10" t="s">
        <v>284</v>
      </c>
      <c r="C23" s="10" t="s">
        <v>285</v>
      </c>
      <c r="D23" s="10" t="s">
        <v>286</v>
      </c>
      <c r="E23" s="10" t="s">
        <v>287</v>
      </c>
      <c r="F23" s="10" t="s">
        <v>288</v>
      </c>
      <c r="G23" s="10" t="s">
        <v>289</v>
      </c>
      <c r="H23" s="10" t="s">
        <v>290</v>
      </c>
      <c r="I23" s="10" t="s">
        <v>170</v>
      </c>
    </row>
    <row r="24" customFormat="false" ht="60" hidden="false" customHeight="true" outlineLevel="0" collapsed="false">
      <c r="A24" s="10" t="s">
        <v>291</v>
      </c>
      <c r="B24" s="10" t="s">
        <v>292</v>
      </c>
      <c r="C24" s="10" t="s">
        <v>293</v>
      </c>
      <c r="D24" s="10" t="s">
        <v>294</v>
      </c>
      <c r="E24" s="10" t="s">
        <v>295</v>
      </c>
      <c r="F24" s="10" t="s">
        <v>296</v>
      </c>
      <c r="G24" s="10" t="s">
        <v>297</v>
      </c>
      <c r="H24" s="10" t="s">
        <v>298</v>
      </c>
      <c r="I24" s="10" t="s">
        <v>170</v>
      </c>
    </row>
    <row r="25" customFormat="false" ht="60" hidden="false" customHeight="true" outlineLevel="0" collapsed="false">
      <c r="A25" s="10" t="s">
        <v>299</v>
      </c>
      <c r="B25" s="10" t="s">
        <v>300</v>
      </c>
      <c r="C25" s="10" t="s">
        <v>301</v>
      </c>
      <c r="D25" s="10" t="s">
        <v>302</v>
      </c>
      <c r="E25" s="10" t="s">
        <v>303</v>
      </c>
      <c r="F25" s="10" t="s">
        <v>304</v>
      </c>
      <c r="G25" s="10" t="s">
        <v>305</v>
      </c>
      <c r="H25" s="10" t="s">
        <v>306</v>
      </c>
      <c r="I25" s="10" t="s">
        <v>170</v>
      </c>
    </row>
    <row r="26" customFormat="false" ht="60" hidden="false" customHeight="true" outlineLevel="0" collapsed="false">
      <c r="A26" s="10" t="s">
        <v>307</v>
      </c>
      <c r="B26" s="10" t="s">
        <v>308</v>
      </c>
      <c r="C26" s="10" t="s">
        <v>301</v>
      </c>
      <c r="D26" s="10" t="s">
        <v>302</v>
      </c>
      <c r="E26" s="10" t="s">
        <v>303</v>
      </c>
      <c r="F26" s="10" t="s">
        <v>304</v>
      </c>
      <c r="G26" s="10" t="s">
        <v>305</v>
      </c>
      <c r="H26" s="10" t="s">
        <v>306</v>
      </c>
      <c r="I26" s="10" t="s">
        <v>170</v>
      </c>
    </row>
    <row r="27" customFormat="false" ht="60" hidden="false" customHeight="true" outlineLevel="0" collapsed="false">
      <c r="A27" s="10" t="s">
        <v>309</v>
      </c>
      <c r="B27" s="10" t="s">
        <v>310</v>
      </c>
      <c r="C27" s="10" t="s">
        <v>301</v>
      </c>
      <c r="D27" s="10" t="s">
        <v>302</v>
      </c>
      <c r="E27" s="10" t="s">
        <v>303</v>
      </c>
      <c r="F27" s="10" t="s">
        <v>304</v>
      </c>
      <c r="G27" s="10" t="s">
        <v>305</v>
      </c>
      <c r="H27" s="10" t="s">
        <v>306</v>
      </c>
      <c r="I27" s="10" t="s">
        <v>170</v>
      </c>
    </row>
    <row r="28" customFormat="false" ht="60" hidden="false" customHeight="true" outlineLevel="0" collapsed="false">
      <c r="A28" s="10" t="s">
        <v>311</v>
      </c>
      <c r="B28" s="10" t="s">
        <v>312</v>
      </c>
      <c r="C28" s="10" t="s">
        <v>301</v>
      </c>
      <c r="D28" s="10" t="s">
        <v>302</v>
      </c>
      <c r="E28" s="10" t="s">
        <v>303</v>
      </c>
      <c r="F28" s="10" t="s">
        <v>304</v>
      </c>
      <c r="G28" s="10" t="s">
        <v>305</v>
      </c>
      <c r="H28" s="10" t="s">
        <v>306</v>
      </c>
      <c r="I28" s="10" t="s">
        <v>170</v>
      </c>
    </row>
    <row r="29" customFormat="false" ht="60" hidden="false" customHeight="true" outlineLevel="0" collapsed="false">
      <c r="A29" s="10" t="s">
        <v>313</v>
      </c>
      <c r="B29" s="10" t="s">
        <v>314</v>
      </c>
      <c r="C29" s="10" t="s">
        <v>301</v>
      </c>
      <c r="D29" s="10" t="s">
        <v>302</v>
      </c>
      <c r="E29" s="10" t="s">
        <v>303</v>
      </c>
      <c r="F29" s="10" t="s">
        <v>304</v>
      </c>
      <c r="G29" s="10" t="s">
        <v>305</v>
      </c>
      <c r="H29" s="10" t="s">
        <v>306</v>
      </c>
      <c r="I29" s="10" t="s">
        <v>170</v>
      </c>
    </row>
  </sheetData>
  <autoFilter ref="A3:I29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7" min="6" style="0" width="14"/>
    <col collapsed="false" customWidth="true" hidden="false" outlineLevel="0" max="8" min="8" style="0" width="26"/>
  </cols>
  <sheetData>
    <row r="1" customFormat="false" ht="33.75" hidden="false" customHeight="true" outlineLevel="0" collapsed="false">
      <c r="A1" s="13" t="s">
        <v>315</v>
      </c>
      <c r="B1" s="13"/>
      <c r="C1" s="13"/>
      <c r="D1" s="13"/>
      <c r="E1" s="13"/>
      <c r="F1" s="13"/>
      <c r="G1" s="13"/>
      <c r="H1" s="13"/>
    </row>
    <row r="3" customFormat="false" ht="31.5" hidden="false" customHeight="true" outlineLevel="0" collapsed="false">
      <c r="A3" s="8" t="s">
        <v>316</v>
      </c>
      <c r="B3" s="8" t="s">
        <v>317</v>
      </c>
      <c r="C3" s="8" t="s">
        <v>318</v>
      </c>
      <c r="D3" s="8" t="s">
        <v>319</v>
      </c>
      <c r="E3" s="8" t="s">
        <v>320</v>
      </c>
      <c r="F3" s="8" t="s">
        <v>321</v>
      </c>
      <c r="G3" s="8" t="s">
        <v>322</v>
      </c>
      <c r="H3" s="8" t="s">
        <v>323</v>
      </c>
    </row>
    <row r="4" customFormat="false" ht="48" hidden="false" customHeight="true" outlineLevel="0" collapsed="false">
      <c r="A4" s="10" t="s">
        <v>324</v>
      </c>
      <c r="B4" s="10" t="s">
        <v>325</v>
      </c>
      <c r="C4" s="10" t="s">
        <v>326</v>
      </c>
      <c r="D4" s="10" t="s">
        <v>327</v>
      </c>
      <c r="E4" s="10" t="s">
        <v>328</v>
      </c>
      <c r="F4" s="16" t="n">
        <v>0</v>
      </c>
      <c r="G4" s="10" t="s">
        <v>329</v>
      </c>
      <c r="H4" s="10" t="s">
        <v>330</v>
      </c>
    </row>
    <row r="5" customFormat="false" ht="48" hidden="false" customHeight="true" outlineLevel="0" collapsed="false">
      <c r="A5" s="10" t="s">
        <v>331</v>
      </c>
      <c r="B5" s="10" t="s">
        <v>332</v>
      </c>
      <c r="C5" s="10" t="s">
        <v>333</v>
      </c>
      <c r="D5" s="10" t="s">
        <v>334</v>
      </c>
      <c r="E5" s="10" t="s">
        <v>335</v>
      </c>
      <c r="F5" s="16" t="n">
        <v>4000</v>
      </c>
      <c r="G5" s="10" t="s">
        <v>329</v>
      </c>
      <c r="H5" s="10" t="s">
        <v>336</v>
      </c>
    </row>
    <row r="6" customFormat="false" ht="48" hidden="false" customHeight="true" outlineLevel="0" collapsed="false">
      <c r="A6" s="10" t="s">
        <v>337</v>
      </c>
      <c r="B6" s="10" t="s">
        <v>338</v>
      </c>
      <c r="C6" s="10" t="s">
        <v>339</v>
      </c>
      <c r="D6" s="10" t="s">
        <v>334</v>
      </c>
      <c r="E6" s="10" t="s">
        <v>340</v>
      </c>
      <c r="F6" s="16" t="n">
        <v>2500</v>
      </c>
      <c r="G6" s="10" t="s">
        <v>329</v>
      </c>
      <c r="H6" s="10" t="s">
        <v>341</v>
      </c>
    </row>
    <row r="7" customFormat="false" ht="48" hidden="false" customHeight="true" outlineLevel="0" collapsed="false">
      <c r="A7" s="10" t="s">
        <v>342</v>
      </c>
      <c r="B7" s="10" t="s">
        <v>343</v>
      </c>
      <c r="C7" s="10" t="s">
        <v>344</v>
      </c>
      <c r="D7" s="10" t="s">
        <v>334</v>
      </c>
      <c r="E7" s="10" t="s">
        <v>345</v>
      </c>
      <c r="F7" s="16" t="n">
        <v>2000</v>
      </c>
      <c r="G7" s="10" t="s">
        <v>329</v>
      </c>
      <c r="H7" s="10" t="s">
        <v>346</v>
      </c>
    </row>
    <row r="8" customFormat="false" ht="48" hidden="false" customHeight="true" outlineLevel="0" collapsed="false">
      <c r="A8" s="10" t="s">
        <v>347</v>
      </c>
      <c r="B8" s="10" t="s">
        <v>348</v>
      </c>
      <c r="C8" s="10" t="s">
        <v>349</v>
      </c>
      <c r="D8" s="10" t="s">
        <v>350</v>
      </c>
      <c r="E8" s="10" t="s">
        <v>351</v>
      </c>
      <c r="F8" s="16" t="n">
        <v>400</v>
      </c>
      <c r="G8" s="10" t="s">
        <v>329</v>
      </c>
      <c r="H8" s="10" t="s">
        <v>352</v>
      </c>
    </row>
    <row r="9" customFormat="false" ht="48" hidden="false" customHeight="true" outlineLevel="0" collapsed="false">
      <c r="A9" s="10" t="s">
        <v>353</v>
      </c>
      <c r="B9" s="10" t="s">
        <v>354</v>
      </c>
      <c r="C9" s="10" t="s">
        <v>355</v>
      </c>
      <c r="D9" s="10" t="s">
        <v>356</v>
      </c>
      <c r="E9" s="10" t="s">
        <v>357</v>
      </c>
      <c r="F9" s="16" t="n">
        <v>0</v>
      </c>
      <c r="G9" s="10" t="s">
        <v>329</v>
      </c>
      <c r="H9" s="10" t="s">
        <v>358</v>
      </c>
    </row>
    <row r="10" customFormat="false" ht="48" hidden="false" customHeight="true" outlineLevel="0" collapsed="false">
      <c r="A10" s="10" t="s">
        <v>359</v>
      </c>
      <c r="B10" s="10" t="s">
        <v>360</v>
      </c>
      <c r="C10" s="10" t="s">
        <v>361</v>
      </c>
      <c r="D10" s="10" t="s">
        <v>362</v>
      </c>
      <c r="E10" s="10" t="s">
        <v>363</v>
      </c>
      <c r="F10" s="16" t="n">
        <v>300</v>
      </c>
      <c r="G10" s="10" t="s">
        <v>329</v>
      </c>
      <c r="H10" s="10" t="s">
        <v>364</v>
      </c>
    </row>
    <row r="11" customFormat="false" ht="48" hidden="false" customHeight="true" outlineLevel="0" collapsed="false">
      <c r="A11" s="10" t="s">
        <v>365</v>
      </c>
      <c r="B11" s="10" t="s">
        <v>366</v>
      </c>
      <c r="C11" s="10" t="s">
        <v>367</v>
      </c>
      <c r="D11" s="10" t="s">
        <v>368</v>
      </c>
      <c r="E11" s="10" t="s">
        <v>369</v>
      </c>
      <c r="F11" s="16" t="n">
        <v>0</v>
      </c>
      <c r="G11" s="10" t="s">
        <v>329</v>
      </c>
      <c r="H11" s="10" t="s">
        <v>370</v>
      </c>
    </row>
    <row r="12" customFormat="false" ht="48" hidden="false" customHeight="true" outlineLevel="0" collapsed="false">
      <c r="A12" s="10" t="s">
        <v>371</v>
      </c>
      <c r="B12" s="10" t="s">
        <v>372</v>
      </c>
      <c r="C12" s="10" t="s">
        <v>373</v>
      </c>
      <c r="D12" s="10" t="s">
        <v>374</v>
      </c>
      <c r="E12" s="10" t="s">
        <v>106</v>
      </c>
      <c r="F12" s="16" t="n">
        <v>0</v>
      </c>
      <c r="G12" s="10" t="s">
        <v>329</v>
      </c>
      <c r="H12" s="10" t="s">
        <v>375</v>
      </c>
    </row>
    <row r="13" customFormat="false" ht="48" hidden="false" customHeight="true" outlineLevel="0" collapsed="false">
      <c r="A13" s="10" t="s">
        <v>376</v>
      </c>
      <c r="B13" s="10" t="s">
        <v>377</v>
      </c>
      <c r="C13" s="10" t="s">
        <v>378</v>
      </c>
      <c r="D13" s="10" t="s">
        <v>379</v>
      </c>
      <c r="E13" s="10" t="s">
        <v>380</v>
      </c>
      <c r="F13" s="16" t="n">
        <v>0</v>
      </c>
      <c r="G13" s="10" t="s">
        <v>329</v>
      </c>
      <c r="H13" s="10" t="s">
        <v>381</v>
      </c>
    </row>
    <row r="14" customFormat="false" ht="48" hidden="false" customHeight="true" outlineLevel="0" collapsed="false">
      <c r="A14" s="10" t="s">
        <v>382</v>
      </c>
      <c r="B14" s="10" t="s">
        <v>383</v>
      </c>
      <c r="C14" s="10" t="s">
        <v>384</v>
      </c>
      <c r="D14" s="10" t="s">
        <v>385</v>
      </c>
      <c r="E14" s="10" t="s">
        <v>386</v>
      </c>
      <c r="F14" s="16" t="n">
        <v>3500</v>
      </c>
      <c r="G14" s="10" t="s">
        <v>329</v>
      </c>
      <c r="H14" s="10" t="s">
        <v>387</v>
      </c>
    </row>
    <row r="16" customFormat="false" ht="15" hidden="false" customHeight="false" outlineLevel="0" collapsed="false">
      <c r="E16" s="17" t="s">
        <v>388</v>
      </c>
      <c r="F16" s="18" t="n">
        <f aca="false">SUM(F4:F15)</f>
        <v>12700</v>
      </c>
    </row>
  </sheetData>
  <autoFilter ref="A3:H15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0"/>
  </cols>
  <sheetData>
    <row r="1" customFormat="false" ht="33.75" hidden="false" customHeight="true" outlineLevel="0" collapsed="false">
      <c r="A1" s="13" t="s">
        <v>389</v>
      </c>
      <c r="B1" s="13"/>
      <c r="C1" s="13"/>
      <c r="D1" s="13"/>
      <c r="E1" s="13"/>
      <c r="F1" s="13"/>
    </row>
    <row r="3" customFormat="false" ht="15" hidden="false" customHeight="false" outlineLevel="0" collapsed="false">
      <c r="A3" s="19" t="s">
        <v>390</v>
      </c>
      <c r="B3" s="19"/>
      <c r="C3" s="19"/>
      <c r="D3" s="19"/>
      <c r="E3" s="19"/>
      <c r="F3" s="19"/>
    </row>
    <row r="5" customFormat="false" ht="31.5" hidden="false" customHeight="true" outlineLevel="0" collapsed="false">
      <c r="A5" s="8" t="s">
        <v>391</v>
      </c>
      <c r="B5" s="8" t="s">
        <v>392</v>
      </c>
      <c r="C5" s="8" t="s">
        <v>393</v>
      </c>
      <c r="D5" s="8" t="s">
        <v>394</v>
      </c>
      <c r="E5" s="8" t="s">
        <v>395</v>
      </c>
      <c r="F5" s="8" t="s">
        <v>396</v>
      </c>
    </row>
    <row r="6" customFormat="false" ht="25.5" hidden="false" customHeight="true" outlineLevel="0" collapsed="false">
      <c r="A6" s="10" t="s">
        <v>397</v>
      </c>
      <c r="B6" s="10" t="s">
        <v>331</v>
      </c>
      <c r="C6" s="10" t="s">
        <v>398</v>
      </c>
      <c r="D6" s="20" t="n">
        <v>4000</v>
      </c>
      <c r="E6" s="21" t="n">
        <f aca="false">IFERROR(D6/$D$22,0)</f>
        <v>0.216216216216216</v>
      </c>
      <c r="F6" s="10" t="s">
        <v>399</v>
      </c>
    </row>
    <row r="7" customFormat="false" ht="25.5" hidden="false" customHeight="true" outlineLevel="0" collapsed="false">
      <c r="A7" s="10" t="s">
        <v>397</v>
      </c>
      <c r="B7" s="10" t="s">
        <v>400</v>
      </c>
      <c r="C7" s="10" t="s">
        <v>401</v>
      </c>
      <c r="D7" s="20" t="n">
        <v>2500</v>
      </c>
      <c r="E7" s="21" t="n">
        <f aca="false">IFERROR(D7/$D$22,0)</f>
        <v>0.135135135135135</v>
      </c>
      <c r="F7" s="10" t="s">
        <v>399</v>
      </c>
    </row>
    <row r="8" customFormat="false" ht="25.5" hidden="false" customHeight="true" outlineLevel="0" collapsed="false">
      <c r="A8" s="10" t="s">
        <v>397</v>
      </c>
      <c r="B8" s="10" t="s">
        <v>402</v>
      </c>
      <c r="C8" s="10" t="s">
        <v>403</v>
      </c>
      <c r="D8" s="20" t="n">
        <v>2000</v>
      </c>
      <c r="E8" s="21" t="n">
        <f aca="false">IFERROR(D8/$D$22,0)</f>
        <v>0.108108108108108</v>
      </c>
      <c r="F8" s="10" t="s">
        <v>399</v>
      </c>
    </row>
    <row r="9" customFormat="false" ht="25.5" hidden="false" customHeight="true" outlineLevel="0" collapsed="false">
      <c r="A9" s="10" t="s">
        <v>404</v>
      </c>
      <c r="B9" s="10" t="s">
        <v>405</v>
      </c>
      <c r="C9" s="10" t="s">
        <v>406</v>
      </c>
      <c r="D9" s="20" t="n">
        <v>400</v>
      </c>
      <c r="E9" s="21" t="n">
        <f aca="false">IFERROR(D9/$D$22,0)</f>
        <v>0.0216216216216216</v>
      </c>
      <c r="F9" s="10" t="s">
        <v>399</v>
      </c>
    </row>
    <row r="10" customFormat="false" ht="25.5" hidden="false" customHeight="true" outlineLevel="0" collapsed="false">
      <c r="A10" s="10" t="s">
        <v>407</v>
      </c>
      <c r="B10" s="10" t="s">
        <v>408</v>
      </c>
      <c r="C10" s="10" t="s">
        <v>409</v>
      </c>
      <c r="D10" s="20" t="n">
        <v>300</v>
      </c>
      <c r="E10" s="21" t="n">
        <f aca="false">IFERROR(D10/$D$22,0)</f>
        <v>0.0162162162162162</v>
      </c>
      <c r="F10" s="10" t="s">
        <v>410</v>
      </c>
    </row>
    <row r="11" customFormat="false" ht="25.5" hidden="false" customHeight="true" outlineLevel="0" collapsed="false">
      <c r="A11" s="10" t="s">
        <v>407</v>
      </c>
      <c r="B11" s="10" t="s">
        <v>411</v>
      </c>
      <c r="C11" s="10" t="s">
        <v>412</v>
      </c>
      <c r="D11" s="20" t="n">
        <v>800</v>
      </c>
      <c r="E11" s="21" t="n">
        <f aca="false">IFERROR(D11/$D$22,0)</f>
        <v>0.0432432432432432</v>
      </c>
      <c r="F11" s="10" t="s">
        <v>413</v>
      </c>
    </row>
    <row r="12" customFormat="false" ht="25.5" hidden="false" customHeight="true" outlineLevel="0" collapsed="false">
      <c r="A12" s="10" t="s">
        <v>407</v>
      </c>
      <c r="B12" s="10" t="s">
        <v>414</v>
      </c>
      <c r="C12" s="10" t="s">
        <v>415</v>
      </c>
      <c r="D12" s="20" t="n">
        <v>700</v>
      </c>
      <c r="E12" s="21" t="n">
        <f aca="false">IFERROR(D12/$D$22,0)</f>
        <v>0.0378378378378378</v>
      </c>
      <c r="F12" s="10" t="s">
        <v>416</v>
      </c>
    </row>
    <row r="13" customFormat="false" ht="25.5" hidden="false" customHeight="true" outlineLevel="0" collapsed="false">
      <c r="A13" s="10" t="s">
        <v>371</v>
      </c>
      <c r="B13" s="10" t="s">
        <v>417</v>
      </c>
      <c r="C13" s="10" t="s">
        <v>418</v>
      </c>
      <c r="D13" s="20" t="n">
        <v>1200</v>
      </c>
      <c r="E13" s="21" t="n">
        <f aca="false">IFERROR(D13/$D$22,0)</f>
        <v>0.0648648648648649</v>
      </c>
      <c r="F13" s="10" t="s">
        <v>419</v>
      </c>
    </row>
    <row r="14" customFormat="false" ht="25.5" hidden="false" customHeight="true" outlineLevel="0" collapsed="false">
      <c r="A14" s="10" t="s">
        <v>382</v>
      </c>
      <c r="B14" s="10" t="s">
        <v>420</v>
      </c>
      <c r="C14" s="10" t="s">
        <v>421</v>
      </c>
      <c r="D14" s="20" t="n">
        <v>1500</v>
      </c>
      <c r="E14" s="21" t="n">
        <f aca="false">IFERROR(D14/$D$22,0)</f>
        <v>0.0810810810810811</v>
      </c>
      <c r="F14" s="10" t="s">
        <v>416</v>
      </c>
    </row>
    <row r="15" customFormat="false" ht="25.5" hidden="false" customHeight="true" outlineLevel="0" collapsed="false">
      <c r="A15" s="10" t="s">
        <v>382</v>
      </c>
      <c r="B15" s="10" t="s">
        <v>422</v>
      </c>
      <c r="C15" s="10" t="s">
        <v>423</v>
      </c>
      <c r="D15" s="20" t="n">
        <v>1200</v>
      </c>
      <c r="E15" s="21" t="n">
        <f aca="false">IFERROR(D15/$D$22,0)</f>
        <v>0.0648648648648649</v>
      </c>
      <c r="F15" s="10" t="s">
        <v>416</v>
      </c>
    </row>
    <row r="16" customFormat="false" ht="25.5" hidden="false" customHeight="true" outlineLevel="0" collapsed="false">
      <c r="A16" s="10" t="s">
        <v>382</v>
      </c>
      <c r="B16" s="10" t="s">
        <v>424</v>
      </c>
      <c r="C16" s="10" t="s">
        <v>425</v>
      </c>
      <c r="D16" s="20" t="n">
        <v>400</v>
      </c>
      <c r="E16" s="21" t="n">
        <f aca="false">IFERROR(D16/$D$22,0)</f>
        <v>0.0216216216216216</v>
      </c>
      <c r="F16" s="10" t="s">
        <v>416</v>
      </c>
    </row>
    <row r="17" customFormat="false" ht="25.5" hidden="false" customHeight="true" outlineLevel="0" collapsed="false">
      <c r="A17" s="10" t="s">
        <v>382</v>
      </c>
      <c r="B17" s="10" t="s">
        <v>426</v>
      </c>
      <c r="C17" s="10" t="s">
        <v>427</v>
      </c>
      <c r="D17" s="20" t="n">
        <v>900</v>
      </c>
      <c r="E17" s="21" t="n">
        <f aca="false">IFERROR(D17/$D$22,0)</f>
        <v>0.0486486486486487</v>
      </c>
      <c r="F17" s="10" t="s">
        <v>428</v>
      </c>
    </row>
    <row r="18" customFormat="false" ht="25.5" hidden="false" customHeight="true" outlineLevel="0" collapsed="false">
      <c r="A18" s="10" t="s">
        <v>382</v>
      </c>
      <c r="B18" s="10" t="s">
        <v>429</v>
      </c>
      <c r="C18" s="10" t="s">
        <v>430</v>
      </c>
      <c r="D18" s="20" t="n">
        <v>500</v>
      </c>
      <c r="E18" s="21" t="n">
        <f aca="false">IFERROR(D18/$D$22,0)</f>
        <v>0.027027027027027</v>
      </c>
      <c r="F18" s="10" t="s">
        <v>416</v>
      </c>
    </row>
    <row r="19" customFormat="false" ht="25.5" hidden="false" customHeight="true" outlineLevel="0" collapsed="false">
      <c r="A19" s="10" t="s">
        <v>431</v>
      </c>
      <c r="B19" s="10" t="s">
        <v>432</v>
      </c>
      <c r="C19" s="10" t="s">
        <v>433</v>
      </c>
      <c r="D19" s="20" t="n">
        <v>300</v>
      </c>
      <c r="E19" s="21" t="n">
        <f aca="false">IFERROR(D19/$D$22,0)</f>
        <v>0.0162162162162162</v>
      </c>
      <c r="F19" s="10" t="s">
        <v>399</v>
      </c>
    </row>
    <row r="20" customFormat="false" ht="25.5" hidden="false" customHeight="true" outlineLevel="0" collapsed="false">
      <c r="A20" s="10" t="s">
        <v>431</v>
      </c>
      <c r="B20" s="10" t="s">
        <v>434</v>
      </c>
      <c r="C20" s="10" t="s">
        <v>435</v>
      </c>
      <c r="D20" s="20" t="n">
        <v>100</v>
      </c>
      <c r="E20" s="21" t="n">
        <f aca="false">IFERROR(D20/$D$22,0)</f>
        <v>0.00540540540540541</v>
      </c>
      <c r="F20" s="10" t="s">
        <v>399</v>
      </c>
    </row>
    <row r="21" customFormat="false" ht="25.5" hidden="false" customHeight="true" outlineLevel="0" collapsed="false">
      <c r="A21" s="10" t="s">
        <v>436</v>
      </c>
      <c r="B21" s="10" t="s">
        <v>437</v>
      </c>
      <c r="C21" s="10" t="s">
        <v>438</v>
      </c>
      <c r="D21" s="20" t="n">
        <v>1700</v>
      </c>
      <c r="E21" s="21" t="n">
        <f aca="false">IFERROR(D21/$D$22,0)</f>
        <v>0.0918918918918919</v>
      </c>
      <c r="F21" s="10" t="s">
        <v>439</v>
      </c>
    </row>
    <row r="22" customFormat="false" ht="15" hidden="false" customHeight="false" outlineLevel="0" collapsed="false">
      <c r="C22" s="22" t="s">
        <v>440</v>
      </c>
      <c r="D22" s="23" t="n">
        <f aca="false">SUM(D6:D21)</f>
        <v>18500</v>
      </c>
      <c r="E22" s="24" t="n">
        <f aca="false">SUM(E6:E21)</f>
        <v>1</v>
      </c>
    </row>
    <row r="24" customFormat="false" ht="15" hidden="false" customHeight="false" outlineLevel="0" collapsed="false">
      <c r="A24" s="6" t="s">
        <v>441</v>
      </c>
      <c r="B24" s="6"/>
      <c r="C24" s="6"/>
      <c r="D24" s="6"/>
      <c r="E24" s="6"/>
      <c r="F24" s="6"/>
    </row>
    <row r="25" customFormat="false" ht="31.5" hidden="false" customHeight="true" outlineLevel="0" collapsed="false">
      <c r="A25" s="8" t="s">
        <v>442</v>
      </c>
      <c r="B25" s="8" t="s">
        <v>443</v>
      </c>
      <c r="C25" s="8" t="s">
        <v>444</v>
      </c>
      <c r="D25" s="8" t="s">
        <v>445</v>
      </c>
      <c r="E25" s="8"/>
      <c r="F25" s="8"/>
    </row>
    <row r="26" customFormat="false" ht="15" hidden="false" customHeight="false" outlineLevel="0" collapsed="false">
      <c r="A26" s="25" t="s">
        <v>446</v>
      </c>
      <c r="B26" s="26" t="n">
        <v>4250</v>
      </c>
      <c r="C26" s="27" t="n">
        <v>3</v>
      </c>
      <c r="D26" s="28" t="n">
        <f aca="false">B26*C26</f>
        <v>12750</v>
      </c>
    </row>
    <row r="27" customFormat="false" ht="15" hidden="false" customHeight="false" outlineLevel="0" collapsed="false">
      <c r="A27" s="25" t="s">
        <v>447</v>
      </c>
      <c r="B27" s="26" t="n">
        <v>4500</v>
      </c>
      <c r="C27" s="27" t="n">
        <v>2</v>
      </c>
      <c r="D27" s="28" t="n">
        <f aca="false">B27*C27</f>
        <v>9000</v>
      </c>
    </row>
    <row r="28" customFormat="false" ht="15" hidden="false" customHeight="false" outlineLevel="0" collapsed="false">
      <c r="A28" s="25" t="s">
        <v>448</v>
      </c>
      <c r="B28" s="26" t="n">
        <v>8000</v>
      </c>
      <c r="C28" s="27" t="n">
        <v>1</v>
      </c>
      <c r="D28" s="28" t="n">
        <f aca="false">B28*C28</f>
        <v>8000</v>
      </c>
    </row>
    <row r="29" customFormat="false" ht="15" hidden="false" customHeight="false" outlineLevel="0" collapsed="false">
      <c r="C29" s="22" t="s">
        <v>449</v>
      </c>
      <c r="D29" s="23" t="n">
        <f aca="false">SUM(D26:D28)</f>
        <v>29750</v>
      </c>
    </row>
    <row r="30" customFormat="false" ht="15" hidden="false" customHeight="false" outlineLevel="0" collapsed="false">
      <c r="C30" s="17" t="s">
        <v>450</v>
      </c>
      <c r="D30" s="29" t="n">
        <f aca="false">D29-D22</f>
        <v>11250</v>
      </c>
    </row>
  </sheetData>
  <mergeCells count="3">
    <mergeCell ref="A1:F1"/>
    <mergeCell ref="A3:F3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56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33.75" hidden="false" customHeight="true" outlineLevel="0" collapsed="false">
      <c r="A1" s="13" t="s">
        <v>451</v>
      </c>
      <c r="B1" s="13"/>
      <c r="C1" s="13"/>
      <c r="D1" s="13"/>
      <c r="E1" s="13"/>
      <c r="F1" s="13"/>
    </row>
    <row r="3" customFormat="false" ht="31.5" hidden="false" customHeight="true" outlineLevel="0" collapsed="false">
      <c r="A3" s="8" t="s">
        <v>452</v>
      </c>
      <c r="B3" s="8" t="s">
        <v>453</v>
      </c>
      <c r="C3" s="8" t="s">
        <v>454</v>
      </c>
      <c r="D3" s="8" t="s">
        <v>23</v>
      </c>
      <c r="E3" s="8" t="s">
        <v>455</v>
      </c>
      <c r="F3" s="8" t="s">
        <v>127</v>
      </c>
    </row>
    <row r="4" customFormat="false" ht="30" hidden="false" customHeight="true" outlineLevel="0" collapsed="false">
      <c r="A4" s="9" t="n">
        <v>1</v>
      </c>
      <c r="B4" s="10" t="s">
        <v>456</v>
      </c>
      <c r="C4" s="10" t="s">
        <v>457</v>
      </c>
      <c r="D4" s="10" t="s">
        <v>458</v>
      </c>
      <c r="E4" s="10" t="s">
        <v>128</v>
      </c>
      <c r="F4" s="10" t="s">
        <v>459</v>
      </c>
    </row>
    <row r="5" customFormat="false" ht="30" hidden="false" customHeight="true" outlineLevel="0" collapsed="false">
      <c r="A5" s="9" t="n">
        <v>2</v>
      </c>
      <c r="B5" s="10" t="s">
        <v>460</v>
      </c>
      <c r="C5" s="10" t="s">
        <v>461</v>
      </c>
      <c r="D5" s="10" t="s">
        <v>462</v>
      </c>
      <c r="E5" s="10" t="s">
        <v>137</v>
      </c>
      <c r="F5" s="10" t="s">
        <v>463</v>
      </c>
    </row>
    <row r="6" customFormat="false" ht="30" hidden="false" customHeight="true" outlineLevel="0" collapsed="false">
      <c r="A6" s="9" t="n">
        <v>3</v>
      </c>
      <c r="B6" s="10" t="s">
        <v>464</v>
      </c>
      <c r="C6" s="10" t="s">
        <v>465</v>
      </c>
      <c r="D6" s="10" t="s">
        <v>458</v>
      </c>
      <c r="E6" s="10" t="s">
        <v>137</v>
      </c>
      <c r="F6" s="10" t="s">
        <v>466</v>
      </c>
    </row>
    <row r="7" customFormat="false" ht="30" hidden="false" customHeight="true" outlineLevel="0" collapsed="false">
      <c r="A7" s="9" t="n">
        <v>4</v>
      </c>
      <c r="B7" s="10" t="s">
        <v>464</v>
      </c>
      <c r="C7" s="10" t="s">
        <v>467</v>
      </c>
      <c r="D7" s="10" t="s">
        <v>458</v>
      </c>
      <c r="E7" s="10" t="s">
        <v>137</v>
      </c>
      <c r="F7" s="10" t="s">
        <v>466</v>
      </c>
    </row>
    <row r="8" customFormat="false" ht="30" hidden="false" customHeight="true" outlineLevel="0" collapsed="false">
      <c r="A8" s="9" t="n">
        <v>5</v>
      </c>
      <c r="B8" s="10" t="s">
        <v>456</v>
      </c>
      <c r="C8" s="10" t="s">
        <v>468</v>
      </c>
      <c r="D8" s="10" t="s">
        <v>469</v>
      </c>
      <c r="E8" s="10" t="s">
        <v>145</v>
      </c>
      <c r="F8" s="10" t="s">
        <v>463</v>
      </c>
    </row>
    <row r="9" customFormat="false" ht="30" hidden="false" customHeight="true" outlineLevel="0" collapsed="false">
      <c r="A9" s="9" t="n">
        <v>6</v>
      </c>
      <c r="B9" s="10" t="s">
        <v>464</v>
      </c>
      <c r="C9" s="10" t="s">
        <v>470</v>
      </c>
      <c r="D9" s="10" t="s">
        <v>458</v>
      </c>
      <c r="E9" s="10" t="s">
        <v>145</v>
      </c>
      <c r="F9" s="10" t="s">
        <v>463</v>
      </c>
    </row>
    <row r="10" customFormat="false" ht="30" hidden="false" customHeight="true" outlineLevel="0" collapsed="false">
      <c r="A10" s="9" t="n">
        <v>7</v>
      </c>
      <c r="B10" s="10" t="s">
        <v>471</v>
      </c>
      <c r="C10" s="10" t="s">
        <v>472</v>
      </c>
      <c r="D10" s="10" t="s">
        <v>473</v>
      </c>
      <c r="E10" s="10" t="s">
        <v>128</v>
      </c>
      <c r="F10" s="10" t="s">
        <v>459</v>
      </c>
    </row>
    <row r="11" customFormat="false" ht="30" hidden="false" customHeight="true" outlineLevel="0" collapsed="false">
      <c r="A11" s="9" t="n">
        <v>8</v>
      </c>
      <c r="B11" s="10" t="s">
        <v>474</v>
      </c>
      <c r="C11" s="10" t="s">
        <v>475</v>
      </c>
      <c r="D11" s="10" t="s">
        <v>473</v>
      </c>
      <c r="E11" s="10" t="s">
        <v>145</v>
      </c>
      <c r="F11" s="10" t="s">
        <v>463</v>
      </c>
    </row>
    <row r="12" customFormat="false" ht="30" hidden="false" customHeight="true" outlineLevel="0" collapsed="false">
      <c r="A12" s="9" t="n">
        <v>9</v>
      </c>
      <c r="B12" s="10" t="s">
        <v>476</v>
      </c>
      <c r="C12" s="10" t="s">
        <v>477</v>
      </c>
      <c r="D12" s="10" t="s">
        <v>473</v>
      </c>
      <c r="E12" s="10" t="s">
        <v>153</v>
      </c>
      <c r="F12" s="10" t="s">
        <v>463</v>
      </c>
    </row>
    <row r="13" customFormat="false" ht="30" hidden="false" customHeight="true" outlineLevel="0" collapsed="false">
      <c r="A13" s="9" t="n">
        <v>10</v>
      </c>
      <c r="B13" s="10" t="s">
        <v>456</v>
      </c>
      <c r="C13" s="10" t="s">
        <v>478</v>
      </c>
      <c r="D13" s="10" t="s">
        <v>479</v>
      </c>
      <c r="E13" s="10" t="s">
        <v>153</v>
      </c>
      <c r="F13" s="10" t="s">
        <v>463</v>
      </c>
    </row>
    <row r="14" customFormat="false" ht="30" hidden="false" customHeight="true" outlineLevel="0" collapsed="false">
      <c r="A14" s="9" t="n">
        <v>11</v>
      </c>
      <c r="B14" s="10" t="s">
        <v>464</v>
      </c>
      <c r="C14" s="10" t="s">
        <v>480</v>
      </c>
      <c r="D14" s="10" t="s">
        <v>458</v>
      </c>
      <c r="E14" s="10" t="s">
        <v>153</v>
      </c>
      <c r="F14" s="10" t="s">
        <v>463</v>
      </c>
    </row>
    <row r="15" customFormat="false" ht="30" hidden="false" customHeight="true" outlineLevel="0" collapsed="false">
      <c r="A15" s="9" t="n">
        <v>12</v>
      </c>
      <c r="B15" s="10" t="s">
        <v>481</v>
      </c>
      <c r="C15" s="10" t="s">
        <v>482</v>
      </c>
      <c r="D15" s="10" t="s">
        <v>473</v>
      </c>
      <c r="E15" s="10" t="s">
        <v>162</v>
      </c>
      <c r="F15" s="10" t="s">
        <v>463</v>
      </c>
    </row>
    <row r="16" customFormat="false" ht="30" hidden="false" customHeight="true" outlineLevel="0" collapsed="false">
      <c r="A16" s="9" t="n">
        <v>13</v>
      </c>
      <c r="B16" s="10" t="s">
        <v>460</v>
      </c>
      <c r="C16" s="10" t="s">
        <v>483</v>
      </c>
      <c r="D16" s="10" t="s">
        <v>484</v>
      </c>
      <c r="E16" s="10" t="s">
        <v>171</v>
      </c>
      <c r="F16" s="10" t="s">
        <v>463</v>
      </c>
    </row>
    <row r="17" customFormat="false" ht="30" hidden="false" customHeight="true" outlineLevel="0" collapsed="false">
      <c r="A17" s="9" t="n">
        <v>14</v>
      </c>
      <c r="B17" s="10" t="s">
        <v>485</v>
      </c>
      <c r="C17" s="10" t="s">
        <v>486</v>
      </c>
      <c r="D17" s="10" t="s">
        <v>487</v>
      </c>
      <c r="E17" s="10" t="s">
        <v>171</v>
      </c>
      <c r="F17" s="10" t="s">
        <v>463</v>
      </c>
    </row>
    <row r="18" customFormat="false" ht="30" hidden="false" customHeight="true" outlineLevel="0" collapsed="false">
      <c r="A18" s="9" t="n">
        <v>15</v>
      </c>
      <c r="B18" s="10" t="s">
        <v>456</v>
      </c>
      <c r="C18" s="10" t="s">
        <v>488</v>
      </c>
      <c r="D18" s="10" t="s">
        <v>489</v>
      </c>
      <c r="E18" s="10" t="s">
        <v>179</v>
      </c>
      <c r="F18" s="10" t="s">
        <v>463</v>
      </c>
    </row>
    <row r="19" customFormat="false" ht="30" hidden="false" customHeight="true" outlineLevel="0" collapsed="false">
      <c r="A19" s="9" t="n">
        <v>16</v>
      </c>
      <c r="B19" s="10" t="s">
        <v>460</v>
      </c>
      <c r="C19" s="10" t="s">
        <v>490</v>
      </c>
      <c r="D19" s="10" t="s">
        <v>491</v>
      </c>
      <c r="E19" s="10" t="s">
        <v>187</v>
      </c>
      <c r="F19" s="10" t="s">
        <v>463</v>
      </c>
    </row>
    <row r="20" customFormat="false" ht="30" hidden="false" customHeight="true" outlineLevel="0" collapsed="false">
      <c r="A20" s="9" t="n">
        <v>17</v>
      </c>
      <c r="B20" s="10" t="s">
        <v>492</v>
      </c>
      <c r="C20" s="10" t="s">
        <v>493</v>
      </c>
      <c r="D20" s="10" t="s">
        <v>473</v>
      </c>
      <c r="E20" s="10" t="s">
        <v>187</v>
      </c>
      <c r="F20" s="10" t="s">
        <v>463</v>
      </c>
    </row>
    <row r="21" customFormat="false" ht="30" hidden="false" customHeight="true" outlineLevel="0" collapsed="false">
      <c r="A21" s="9" t="n">
        <v>18</v>
      </c>
      <c r="B21" s="10" t="s">
        <v>456</v>
      </c>
      <c r="C21" s="10" t="s">
        <v>494</v>
      </c>
      <c r="D21" s="10" t="s">
        <v>495</v>
      </c>
      <c r="E21" s="10" t="s">
        <v>203</v>
      </c>
      <c r="F21" s="10" t="s">
        <v>463</v>
      </c>
    </row>
    <row r="22" customFormat="false" ht="30" hidden="false" customHeight="true" outlineLevel="0" collapsed="false">
      <c r="A22" s="9" t="n">
        <v>19</v>
      </c>
      <c r="B22" s="10" t="s">
        <v>496</v>
      </c>
      <c r="C22" s="10" t="s">
        <v>497</v>
      </c>
      <c r="D22" s="10" t="s">
        <v>473</v>
      </c>
      <c r="E22" s="10" t="s">
        <v>211</v>
      </c>
      <c r="F22" s="10" t="s">
        <v>463</v>
      </c>
    </row>
    <row r="23" customFormat="false" ht="30" hidden="false" customHeight="true" outlineLevel="0" collapsed="false">
      <c r="A23" s="9" t="n">
        <v>20</v>
      </c>
      <c r="B23" s="10" t="s">
        <v>456</v>
      </c>
      <c r="C23" s="10" t="s">
        <v>498</v>
      </c>
      <c r="D23" s="10" t="s">
        <v>499</v>
      </c>
      <c r="E23" s="10" t="s">
        <v>219</v>
      </c>
      <c r="F23" s="10" t="s">
        <v>463</v>
      </c>
    </row>
    <row r="24" customFormat="false" ht="30" hidden="false" customHeight="true" outlineLevel="0" collapsed="false">
      <c r="A24" s="9" t="n">
        <v>21</v>
      </c>
      <c r="B24" s="10" t="s">
        <v>456</v>
      </c>
      <c r="C24" s="10" t="s">
        <v>500</v>
      </c>
      <c r="D24" s="10" t="s">
        <v>501</v>
      </c>
      <c r="E24" s="10" t="s">
        <v>227</v>
      </c>
      <c r="F24" s="10" t="s">
        <v>463</v>
      </c>
    </row>
    <row r="25" customFormat="false" ht="30" hidden="false" customHeight="true" outlineLevel="0" collapsed="false">
      <c r="A25" s="9" t="n">
        <v>22</v>
      </c>
      <c r="B25" s="10" t="s">
        <v>456</v>
      </c>
      <c r="C25" s="10" t="s">
        <v>502</v>
      </c>
      <c r="D25" s="10" t="s">
        <v>499</v>
      </c>
      <c r="E25" s="10" t="s">
        <v>235</v>
      </c>
      <c r="F25" s="10" t="s">
        <v>463</v>
      </c>
    </row>
    <row r="26" customFormat="false" ht="30" hidden="false" customHeight="true" outlineLevel="0" collapsed="false">
      <c r="A26" s="9" t="n">
        <v>23</v>
      </c>
      <c r="B26" s="10" t="s">
        <v>503</v>
      </c>
      <c r="C26" s="10" t="s">
        <v>504</v>
      </c>
      <c r="D26" s="10" t="s">
        <v>473</v>
      </c>
      <c r="E26" s="10" t="s">
        <v>243</v>
      </c>
      <c r="F26" s="10" t="s">
        <v>463</v>
      </c>
    </row>
    <row r="27" customFormat="false" ht="30" hidden="false" customHeight="true" outlineLevel="0" collapsed="false">
      <c r="A27" s="9" t="n">
        <v>24</v>
      </c>
      <c r="B27" s="10" t="s">
        <v>456</v>
      </c>
      <c r="C27" s="10" t="s">
        <v>505</v>
      </c>
      <c r="D27" s="10" t="s">
        <v>506</v>
      </c>
      <c r="E27" s="10" t="s">
        <v>251</v>
      </c>
      <c r="F27" s="10" t="s">
        <v>463</v>
      </c>
    </row>
    <row r="28" customFormat="false" ht="30" hidden="false" customHeight="true" outlineLevel="0" collapsed="false">
      <c r="A28" s="9" t="n">
        <v>25</v>
      </c>
      <c r="B28" s="10" t="s">
        <v>456</v>
      </c>
      <c r="C28" s="10" t="s">
        <v>507</v>
      </c>
      <c r="D28" s="10" t="s">
        <v>508</v>
      </c>
      <c r="E28" s="10" t="s">
        <v>259</v>
      </c>
      <c r="F28" s="10" t="s">
        <v>463</v>
      </c>
    </row>
    <row r="29" customFormat="false" ht="30" hidden="false" customHeight="true" outlineLevel="0" collapsed="false">
      <c r="A29" s="9" t="n">
        <v>26</v>
      </c>
      <c r="B29" s="10" t="s">
        <v>509</v>
      </c>
      <c r="C29" s="10" t="s">
        <v>510</v>
      </c>
      <c r="D29" s="10" t="s">
        <v>473</v>
      </c>
      <c r="E29" s="10" t="s">
        <v>259</v>
      </c>
      <c r="F29" s="10" t="s">
        <v>463</v>
      </c>
    </row>
    <row r="30" customFormat="false" ht="30" hidden="false" customHeight="true" outlineLevel="0" collapsed="false">
      <c r="A30" s="9" t="n">
        <v>27</v>
      </c>
      <c r="B30" s="10" t="s">
        <v>456</v>
      </c>
      <c r="C30" s="10" t="s">
        <v>511</v>
      </c>
      <c r="D30" s="10" t="s">
        <v>499</v>
      </c>
      <c r="E30" s="10" t="s">
        <v>267</v>
      </c>
      <c r="F30" s="10" t="s">
        <v>463</v>
      </c>
    </row>
    <row r="31" customFormat="false" ht="30" hidden="false" customHeight="true" outlineLevel="0" collapsed="false">
      <c r="A31" s="9" t="n">
        <v>28</v>
      </c>
      <c r="B31" s="10" t="s">
        <v>512</v>
      </c>
      <c r="C31" s="10" t="s">
        <v>513</v>
      </c>
      <c r="D31" s="10" t="s">
        <v>473</v>
      </c>
      <c r="E31" s="10" t="s">
        <v>267</v>
      </c>
      <c r="F31" s="10" t="s">
        <v>463</v>
      </c>
    </row>
    <row r="32" customFormat="false" ht="30" hidden="false" customHeight="true" outlineLevel="0" collapsed="false">
      <c r="A32" s="9" t="n">
        <v>29</v>
      </c>
      <c r="B32" s="10" t="s">
        <v>456</v>
      </c>
      <c r="C32" s="10" t="s">
        <v>514</v>
      </c>
      <c r="D32" s="10" t="s">
        <v>499</v>
      </c>
      <c r="E32" s="10" t="s">
        <v>275</v>
      </c>
      <c r="F32" s="10" t="s">
        <v>463</v>
      </c>
    </row>
    <row r="33" customFormat="false" ht="30" hidden="false" customHeight="true" outlineLevel="0" collapsed="false">
      <c r="A33" s="9" t="n">
        <v>30</v>
      </c>
      <c r="B33" s="10" t="s">
        <v>515</v>
      </c>
      <c r="C33" s="10" t="s">
        <v>516</v>
      </c>
      <c r="D33" s="10" t="s">
        <v>473</v>
      </c>
      <c r="E33" s="10" t="s">
        <v>275</v>
      </c>
      <c r="F33" s="10" t="s">
        <v>463</v>
      </c>
    </row>
    <row r="34" customFormat="false" ht="30" hidden="false" customHeight="true" outlineLevel="0" collapsed="false">
      <c r="A34" s="9" t="n">
        <v>31</v>
      </c>
      <c r="B34" s="10" t="s">
        <v>517</v>
      </c>
      <c r="C34" s="10" t="s">
        <v>518</v>
      </c>
      <c r="D34" s="10" t="s">
        <v>519</v>
      </c>
      <c r="E34" s="10" t="s">
        <v>283</v>
      </c>
      <c r="F34" s="10" t="s">
        <v>463</v>
      </c>
    </row>
    <row r="35" customFormat="false" ht="30" hidden="false" customHeight="true" outlineLevel="0" collapsed="false">
      <c r="A35" s="9" t="n">
        <v>32</v>
      </c>
      <c r="B35" s="10" t="s">
        <v>520</v>
      </c>
      <c r="C35" s="10" t="s">
        <v>521</v>
      </c>
      <c r="D35" s="10" t="s">
        <v>522</v>
      </c>
      <c r="E35" s="10" t="s">
        <v>291</v>
      </c>
      <c r="F35" s="10" t="s">
        <v>463</v>
      </c>
    </row>
  </sheetData>
  <autoFilter ref="A3:F35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62"/>
    <col collapsed="false" customWidth="true" hidden="false" outlineLevel="0" max="5" min="4" style="0" width="14"/>
    <col collapsed="false" customWidth="true" hidden="false" outlineLevel="0" max="6" min="6" style="0" width="16"/>
  </cols>
  <sheetData>
    <row r="1" customFormat="false" ht="33.75" hidden="false" customHeight="true" outlineLevel="0" collapsed="false">
      <c r="A1" s="13" t="s">
        <v>523</v>
      </c>
      <c r="B1" s="13"/>
      <c r="C1" s="13"/>
      <c r="D1" s="13"/>
      <c r="E1" s="13"/>
      <c r="F1" s="13"/>
    </row>
    <row r="3" customFormat="false" ht="15" hidden="false" customHeight="false" outlineLevel="0" collapsed="false">
      <c r="A3" s="30" t="s">
        <v>524</v>
      </c>
      <c r="B3" s="30"/>
      <c r="C3" s="30"/>
      <c r="D3" s="30"/>
      <c r="E3" s="30"/>
      <c r="F3" s="30"/>
    </row>
    <row r="5" customFormat="false" ht="31.5" hidden="false" customHeight="true" outlineLevel="0" collapsed="false">
      <c r="A5" s="8" t="s">
        <v>48</v>
      </c>
      <c r="B5" s="8" t="s">
        <v>119</v>
      </c>
      <c r="C5" s="8" t="s">
        <v>525</v>
      </c>
      <c r="D5" s="8" t="s">
        <v>526</v>
      </c>
      <c r="E5" s="8" t="s">
        <v>527</v>
      </c>
      <c r="F5" s="8" t="s">
        <v>127</v>
      </c>
    </row>
    <row r="6" customFormat="false" ht="27.75" hidden="false" customHeight="true" outlineLevel="0" collapsed="false">
      <c r="A6" s="9" t="n">
        <v>1</v>
      </c>
      <c r="B6" s="10" t="s">
        <v>128</v>
      </c>
      <c r="C6" s="10" t="s">
        <v>528</v>
      </c>
      <c r="D6" s="15" t="s">
        <v>529</v>
      </c>
      <c r="E6" s="10" t="s">
        <v>530</v>
      </c>
      <c r="F6" s="31" t="s">
        <v>136</v>
      </c>
    </row>
    <row r="7" customFormat="false" ht="27.75" hidden="false" customHeight="true" outlineLevel="0" collapsed="false">
      <c r="A7" s="9" t="n">
        <v>2</v>
      </c>
      <c r="B7" s="10" t="s">
        <v>128</v>
      </c>
      <c r="C7" s="10" t="s">
        <v>531</v>
      </c>
      <c r="D7" s="15" t="s">
        <v>529</v>
      </c>
      <c r="E7" s="10" t="s">
        <v>530</v>
      </c>
      <c r="F7" s="31" t="s">
        <v>136</v>
      </c>
    </row>
    <row r="8" customFormat="false" ht="27.75" hidden="false" customHeight="true" outlineLevel="0" collapsed="false">
      <c r="A8" s="9" t="n">
        <v>3</v>
      </c>
      <c r="B8" s="10" t="s">
        <v>128</v>
      </c>
      <c r="C8" s="10" t="s">
        <v>532</v>
      </c>
      <c r="D8" s="15" t="s">
        <v>529</v>
      </c>
      <c r="E8" s="10" t="s">
        <v>530</v>
      </c>
      <c r="F8" s="31" t="s">
        <v>136</v>
      </c>
    </row>
    <row r="9" customFormat="false" ht="27.75" hidden="false" customHeight="true" outlineLevel="0" collapsed="false">
      <c r="A9" s="9" t="n">
        <v>4</v>
      </c>
      <c r="B9" s="10" t="s">
        <v>533</v>
      </c>
      <c r="C9" s="10" t="s">
        <v>534</v>
      </c>
      <c r="D9" s="15" t="s">
        <v>529</v>
      </c>
      <c r="E9" s="10" t="s">
        <v>535</v>
      </c>
      <c r="F9" s="15" t="s">
        <v>536</v>
      </c>
    </row>
    <row r="10" customFormat="false" ht="27.75" hidden="false" customHeight="true" outlineLevel="0" collapsed="false">
      <c r="A10" s="9" t="n">
        <v>5</v>
      </c>
      <c r="B10" s="10" t="s">
        <v>145</v>
      </c>
      <c r="C10" s="10" t="s">
        <v>537</v>
      </c>
      <c r="D10" s="32" t="s">
        <v>538</v>
      </c>
      <c r="E10" s="10" t="s">
        <v>539</v>
      </c>
      <c r="F10" s="31" t="s">
        <v>136</v>
      </c>
    </row>
    <row r="11" customFormat="false" ht="27.75" hidden="false" customHeight="true" outlineLevel="0" collapsed="false">
      <c r="A11" s="9" t="n">
        <v>6</v>
      </c>
      <c r="B11" s="10" t="s">
        <v>153</v>
      </c>
      <c r="C11" s="10" t="s">
        <v>540</v>
      </c>
      <c r="D11" s="10" t="s">
        <v>541</v>
      </c>
      <c r="E11" s="10" t="s">
        <v>535</v>
      </c>
      <c r="F11" s="15" t="s">
        <v>536</v>
      </c>
    </row>
    <row r="12" customFormat="false" ht="27.75" hidden="false" customHeight="true" outlineLevel="0" collapsed="false">
      <c r="A12" s="9" t="n">
        <v>7</v>
      </c>
      <c r="B12" s="10" t="s">
        <v>162</v>
      </c>
      <c r="C12" s="10" t="s">
        <v>542</v>
      </c>
      <c r="D12" s="15" t="s">
        <v>529</v>
      </c>
      <c r="E12" s="10" t="s">
        <v>543</v>
      </c>
      <c r="F12" s="10" t="s">
        <v>170</v>
      </c>
    </row>
    <row r="13" customFormat="false" ht="27.75" hidden="false" customHeight="true" outlineLevel="0" collapsed="false">
      <c r="A13" s="9" t="n">
        <v>8</v>
      </c>
      <c r="B13" s="10" t="s">
        <v>171</v>
      </c>
      <c r="C13" s="10" t="s">
        <v>544</v>
      </c>
      <c r="D13" s="32" t="s">
        <v>538</v>
      </c>
      <c r="E13" s="10" t="s">
        <v>545</v>
      </c>
      <c r="F13" s="10" t="s">
        <v>170</v>
      </c>
    </row>
    <row r="14" customFormat="false" ht="27.75" hidden="false" customHeight="true" outlineLevel="0" collapsed="false">
      <c r="A14" s="9" t="n">
        <v>9</v>
      </c>
      <c r="B14" s="10" t="s">
        <v>546</v>
      </c>
      <c r="C14" s="10" t="s">
        <v>547</v>
      </c>
      <c r="D14" s="10" t="s">
        <v>541</v>
      </c>
      <c r="E14" s="10" t="s">
        <v>548</v>
      </c>
      <c r="F14" s="10" t="s">
        <v>170</v>
      </c>
    </row>
    <row r="15" customFormat="false" ht="27.75" hidden="false" customHeight="true" outlineLevel="0" collapsed="false">
      <c r="A15" s="9" t="n">
        <v>10</v>
      </c>
      <c r="B15" s="10" t="s">
        <v>187</v>
      </c>
      <c r="C15" s="10" t="s">
        <v>549</v>
      </c>
      <c r="D15" s="10" t="s">
        <v>541</v>
      </c>
      <c r="E15" s="10" t="s">
        <v>548</v>
      </c>
      <c r="F15" s="10" t="s">
        <v>170</v>
      </c>
    </row>
    <row r="16" customFormat="false" ht="27.75" hidden="false" customHeight="true" outlineLevel="0" collapsed="false">
      <c r="A16" s="9" t="n">
        <v>11</v>
      </c>
      <c r="B16" s="10" t="s">
        <v>203</v>
      </c>
      <c r="C16" s="10" t="s">
        <v>550</v>
      </c>
      <c r="D16" s="32" t="s">
        <v>538</v>
      </c>
      <c r="E16" s="10" t="s">
        <v>551</v>
      </c>
      <c r="F16" s="10" t="s">
        <v>170</v>
      </c>
    </row>
    <row r="17" customFormat="false" ht="27.75" hidden="false" customHeight="true" outlineLevel="0" collapsed="false">
      <c r="A17" s="9" t="n">
        <v>12</v>
      </c>
      <c r="B17" s="10" t="s">
        <v>211</v>
      </c>
      <c r="C17" s="10" t="s">
        <v>552</v>
      </c>
      <c r="D17" s="32" t="s">
        <v>538</v>
      </c>
      <c r="E17" s="10" t="s">
        <v>553</v>
      </c>
      <c r="F17" s="10" t="s">
        <v>170</v>
      </c>
    </row>
    <row r="18" customFormat="false" ht="27.75" hidden="false" customHeight="true" outlineLevel="0" collapsed="false">
      <c r="A18" s="9" t="n">
        <v>13</v>
      </c>
      <c r="B18" s="10" t="s">
        <v>219</v>
      </c>
      <c r="C18" s="10" t="s">
        <v>554</v>
      </c>
      <c r="D18" s="15" t="s">
        <v>529</v>
      </c>
      <c r="E18" s="10" t="s">
        <v>555</v>
      </c>
      <c r="F18" s="10" t="s">
        <v>170</v>
      </c>
    </row>
    <row r="19" customFormat="false" ht="27.75" hidden="false" customHeight="true" outlineLevel="0" collapsed="false">
      <c r="A19" s="9" t="n">
        <v>14</v>
      </c>
      <c r="B19" s="10" t="s">
        <v>227</v>
      </c>
      <c r="C19" s="10" t="s">
        <v>556</v>
      </c>
      <c r="D19" s="10" t="s">
        <v>541</v>
      </c>
      <c r="E19" s="10" t="s">
        <v>557</v>
      </c>
      <c r="F19" s="10" t="s">
        <v>170</v>
      </c>
    </row>
    <row r="20" customFormat="false" ht="27.75" hidden="false" customHeight="true" outlineLevel="0" collapsed="false">
      <c r="A20" s="9" t="n">
        <v>15</v>
      </c>
      <c r="B20" s="10" t="s">
        <v>243</v>
      </c>
      <c r="C20" s="10" t="s">
        <v>558</v>
      </c>
      <c r="D20" s="32" t="s">
        <v>538</v>
      </c>
      <c r="E20" s="10" t="s">
        <v>559</v>
      </c>
      <c r="F20" s="10" t="s">
        <v>170</v>
      </c>
    </row>
    <row r="21" customFormat="false" ht="27.75" hidden="false" customHeight="true" outlineLevel="0" collapsed="false">
      <c r="A21" s="9" t="n">
        <v>16</v>
      </c>
      <c r="B21" s="10" t="s">
        <v>259</v>
      </c>
      <c r="C21" s="10" t="s">
        <v>560</v>
      </c>
      <c r="D21" s="32" t="s">
        <v>538</v>
      </c>
      <c r="E21" s="10" t="s">
        <v>561</v>
      </c>
      <c r="F21" s="10" t="s">
        <v>170</v>
      </c>
    </row>
    <row r="22" customFormat="false" ht="27.75" hidden="false" customHeight="true" outlineLevel="0" collapsed="false">
      <c r="A22" s="9" t="n">
        <v>17</v>
      </c>
      <c r="B22" s="10" t="s">
        <v>267</v>
      </c>
      <c r="C22" s="10" t="s">
        <v>562</v>
      </c>
      <c r="D22" s="15" t="s">
        <v>529</v>
      </c>
      <c r="E22" s="10" t="s">
        <v>563</v>
      </c>
      <c r="F22" s="10" t="s">
        <v>170</v>
      </c>
    </row>
    <row r="23" customFormat="false" ht="27.75" hidden="false" customHeight="true" outlineLevel="0" collapsed="false">
      <c r="A23" s="9" t="n">
        <v>18</v>
      </c>
      <c r="B23" s="10" t="s">
        <v>275</v>
      </c>
      <c r="C23" s="10" t="s">
        <v>564</v>
      </c>
      <c r="D23" s="32" t="s">
        <v>538</v>
      </c>
      <c r="E23" s="10" t="s">
        <v>565</v>
      </c>
      <c r="F23" s="10" t="s">
        <v>170</v>
      </c>
    </row>
    <row r="24" customFormat="false" ht="27.75" hidden="false" customHeight="true" outlineLevel="0" collapsed="false">
      <c r="A24" s="9" t="n">
        <v>19</v>
      </c>
      <c r="B24" s="10" t="s">
        <v>283</v>
      </c>
      <c r="C24" s="10" t="s">
        <v>566</v>
      </c>
      <c r="D24" s="32" t="s">
        <v>538</v>
      </c>
      <c r="E24" s="10" t="s">
        <v>567</v>
      </c>
      <c r="F24" s="10" t="s">
        <v>170</v>
      </c>
    </row>
    <row r="25" customFormat="false" ht="27.75" hidden="false" customHeight="true" outlineLevel="0" collapsed="false">
      <c r="A25" s="9" t="n">
        <v>20</v>
      </c>
      <c r="B25" s="10" t="s">
        <v>291</v>
      </c>
      <c r="C25" s="10" t="s">
        <v>568</v>
      </c>
      <c r="D25" s="15" t="s">
        <v>529</v>
      </c>
      <c r="E25" s="10" t="s">
        <v>569</v>
      </c>
      <c r="F25" s="10" t="s">
        <v>170</v>
      </c>
    </row>
  </sheetData>
  <autoFilter ref="A5:F25"/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5" min="3" style="0" width="20"/>
    <col collapsed="false" customWidth="true" hidden="false" outlineLevel="0" max="6" min="6" style="0" width="22"/>
    <col collapsed="false" customWidth="true" hidden="false" outlineLevel="0" max="8" min="7" style="0" width="20"/>
  </cols>
  <sheetData>
    <row r="1" customFormat="false" ht="33.75" hidden="false" customHeight="true" outlineLevel="0" collapsed="false">
      <c r="A1" s="13" t="s">
        <v>570</v>
      </c>
      <c r="B1" s="13"/>
      <c r="C1" s="13"/>
      <c r="D1" s="13"/>
      <c r="E1" s="13"/>
      <c r="F1" s="13"/>
      <c r="G1" s="13"/>
      <c r="H1" s="13"/>
    </row>
    <row r="3" customFormat="false" ht="31.5" hidden="false" customHeight="true" outlineLevel="0" collapsed="false">
      <c r="A3" s="8" t="s">
        <v>119</v>
      </c>
      <c r="B3" s="8" t="s">
        <v>120</v>
      </c>
      <c r="C3" s="8" t="s">
        <v>571</v>
      </c>
      <c r="D3" s="8" t="s">
        <v>572</v>
      </c>
      <c r="E3" s="8" t="s">
        <v>573</v>
      </c>
      <c r="F3" s="8" t="s">
        <v>574</v>
      </c>
      <c r="G3" s="8" t="s">
        <v>575</v>
      </c>
      <c r="H3" s="8" t="s">
        <v>576</v>
      </c>
    </row>
    <row r="4" customFormat="false" ht="21.75" hidden="false" customHeight="true" outlineLevel="0" collapsed="false">
      <c r="A4" s="10" t="s">
        <v>128</v>
      </c>
      <c r="B4" s="10" t="s">
        <v>129</v>
      </c>
      <c r="C4" s="33" t="n">
        <v>0</v>
      </c>
      <c r="D4" s="33" t="n">
        <v>0</v>
      </c>
      <c r="E4" s="33" t="n">
        <v>0</v>
      </c>
      <c r="F4" s="33" t="n">
        <v>0</v>
      </c>
      <c r="G4" s="33" t="n">
        <v>0</v>
      </c>
      <c r="H4" s="33" t="n">
        <v>0</v>
      </c>
    </row>
    <row r="5" customFormat="false" ht="21.75" hidden="false" customHeight="true" outlineLevel="0" collapsed="false">
      <c r="A5" s="10" t="s">
        <v>137</v>
      </c>
      <c r="B5" s="10" t="s">
        <v>138</v>
      </c>
      <c r="C5" s="33" t="n">
        <v>0</v>
      </c>
      <c r="D5" s="33" t="n">
        <v>0</v>
      </c>
      <c r="E5" s="33" t="n">
        <v>0</v>
      </c>
      <c r="F5" s="33" t="n">
        <v>0</v>
      </c>
      <c r="G5" s="33" t="n">
        <v>0</v>
      </c>
      <c r="H5" s="33" t="n">
        <v>0</v>
      </c>
    </row>
    <row r="6" customFormat="false" ht="21.75" hidden="false" customHeight="true" outlineLevel="0" collapsed="false">
      <c r="A6" s="10" t="s">
        <v>145</v>
      </c>
      <c r="B6" s="10" t="s">
        <v>146</v>
      </c>
      <c r="C6" s="33" t="n">
        <v>0</v>
      </c>
      <c r="D6" s="33" t="n">
        <v>0</v>
      </c>
      <c r="E6" s="33" t="n">
        <v>0</v>
      </c>
      <c r="F6" s="33" t="n">
        <v>0</v>
      </c>
      <c r="G6" s="33" t="n">
        <v>0</v>
      </c>
      <c r="H6" s="33" t="n">
        <v>0</v>
      </c>
    </row>
    <row r="7" customFormat="false" ht="21.75" hidden="false" customHeight="true" outlineLevel="0" collapsed="false">
      <c r="A7" s="10" t="s">
        <v>153</v>
      </c>
      <c r="B7" s="10" t="s">
        <v>154</v>
      </c>
      <c r="C7" s="33" t="n">
        <v>0</v>
      </c>
      <c r="D7" s="33" t="n">
        <v>0</v>
      </c>
      <c r="E7" s="33" t="n">
        <v>0</v>
      </c>
      <c r="F7" s="33" t="n">
        <v>0</v>
      </c>
      <c r="G7" s="33" t="n">
        <v>0</v>
      </c>
      <c r="H7" s="33" t="n">
        <v>0</v>
      </c>
    </row>
    <row r="8" customFormat="false" ht="21.75" hidden="false" customHeight="true" outlineLevel="0" collapsed="false">
      <c r="A8" s="10" t="s">
        <v>162</v>
      </c>
      <c r="B8" s="10" t="s">
        <v>163</v>
      </c>
      <c r="C8" s="33" t="n">
        <v>0</v>
      </c>
      <c r="D8" s="33" t="n">
        <v>0</v>
      </c>
      <c r="E8" s="33" t="n">
        <v>0</v>
      </c>
      <c r="F8" s="33" t="n">
        <v>0</v>
      </c>
      <c r="G8" s="33" t="n">
        <v>0</v>
      </c>
      <c r="H8" s="33" t="n">
        <v>0</v>
      </c>
    </row>
    <row r="9" customFormat="false" ht="21.75" hidden="false" customHeight="true" outlineLevel="0" collapsed="false">
      <c r="A9" s="10" t="s">
        <v>171</v>
      </c>
      <c r="B9" s="10" t="s">
        <v>172</v>
      </c>
      <c r="C9" s="33" t="n">
        <v>0</v>
      </c>
      <c r="D9" s="33" t="n">
        <v>0</v>
      </c>
      <c r="E9" s="33" t="n">
        <v>0</v>
      </c>
      <c r="F9" s="33" t="n">
        <v>0</v>
      </c>
      <c r="G9" s="33" t="n">
        <v>0</v>
      </c>
      <c r="H9" s="33" t="n">
        <v>0</v>
      </c>
    </row>
    <row r="10" customFormat="false" ht="21.75" hidden="false" customHeight="true" outlineLevel="0" collapsed="false">
      <c r="A10" s="10" t="s">
        <v>179</v>
      </c>
      <c r="B10" s="10" t="s">
        <v>180</v>
      </c>
      <c r="C10" s="33" t="n">
        <v>0</v>
      </c>
      <c r="D10" s="33" t="n">
        <v>0</v>
      </c>
      <c r="E10" s="33" t="n">
        <v>0</v>
      </c>
      <c r="F10" s="33" t="n">
        <v>0</v>
      </c>
      <c r="G10" s="33" t="n">
        <v>0</v>
      </c>
      <c r="H10" s="33" t="n">
        <v>0</v>
      </c>
    </row>
    <row r="11" customFormat="false" ht="21.75" hidden="false" customHeight="true" outlineLevel="0" collapsed="false">
      <c r="A11" s="10" t="s">
        <v>187</v>
      </c>
      <c r="B11" s="10" t="s">
        <v>188</v>
      </c>
      <c r="C11" s="33" t="n">
        <v>0</v>
      </c>
      <c r="D11" s="33" t="n">
        <v>0</v>
      </c>
      <c r="E11" s="33" t="n">
        <v>0</v>
      </c>
      <c r="F11" s="33" t="n">
        <v>0</v>
      </c>
      <c r="G11" s="33" t="n">
        <v>0</v>
      </c>
      <c r="H11" s="33" t="n">
        <v>0</v>
      </c>
    </row>
    <row r="12" customFormat="false" ht="21.75" hidden="false" customHeight="true" outlineLevel="0" collapsed="false">
      <c r="A12" s="10" t="s">
        <v>195</v>
      </c>
      <c r="B12" s="10" t="s">
        <v>196</v>
      </c>
      <c r="C12" s="33" t="n">
        <v>0</v>
      </c>
      <c r="D12" s="33" t="n">
        <v>0</v>
      </c>
      <c r="E12" s="33" t="n">
        <v>0</v>
      </c>
      <c r="F12" s="33" t="n">
        <v>0</v>
      </c>
      <c r="G12" s="33" t="n">
        <v>0</v>
      </c>
      <c r="H12" s="33" t="n">
        <v>0</v>
      </c>
    </row>
    <row r="13" customFormat="false" ht="21.75" hidden="false" customHeight="true" outlineLevel="0" collapsed="false">
      <c r="A13" s="10" t="s">
        <v>203</v>
      </c>
      <c r="B13" s="10" t="s">
        <v>204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0</v>
      </c>
    </row>
    <row r="14" customFormat="false" ht="21.75" hidden="false" customHeight="true" outlineLevel="0" collapsed="false">
      <c r="A14" s="10" t="s">
        <v>211</v>
      </c>
      <c r="B14" s="10" t="s">
        <v>212</v>
      </c>
      <c r="C14" s="33" t="n">
        <v>0</v>
      </c>
      <c r="D14" s="33" t="n">
        <v>0</v>
      </c>
      <c r="E14" s="33" t="n">
        <v>0</v>
      </c>
      <c r="F14" s="33" t="n">
        <v>0</v>
      </c>
      <c r="G14" s="33" t="n">
        <v>0</v>
      </c>
      <c r="H14" s="33" t="n">
        <v>0</v>
      </c>
    </row>
    <row r="15" customFormat="false" ht="21.75" hidden="false" customHeight="true" outlineLevel="0" collapsed="false">
      <c r="A15" s="10" t="s">
        <v>219</v>
      </c>
      <c r="B15" s="10" t="s">
        <v>220</v>
      </c>
      <c r="C15" s="33" t="n">
        <v>0</v>
      </c>
      <c r="D15" s="33" t="n">
        <v>0</v>
      </c>
      <c r="E15" s="33" t="n">
        <v>0</v>
      </c>
      <c r="F15" s="33" t="n">
        <v>0</v>
      </c>
      <c r="G15" s="33" t="n">
        <v>0</v>
      </c>
      <c r="H15" s="33" t="n">
        <v>0</v>
      </c>
    </row>
    <row r="16" customFormat="false" ht="21.75" hidden="false" customHeight="true" outlineLevel="0" collapsed="false">
      <c r="A16" s="10" t="s">
        <v>227</v>
      </c>
      <c r="B16" s="10" t="s">
        <v>228</v>
      </c>
      <c r="C16" s="33" t="n">
        <v>0</v>
      </c>
      <c r="D16" s="33" t="n">
        <v>0</v>
      </c>
      <c r="E16" s="33" t="n">
        <v>0</v>
      </c>
      <c r="F16" s="33" t="n">
        <v>0</v>
      </c>
      <c r="G16" s="33" t="n">
        <v>0</v>
      </c>
      <c r="H16" s="33" t="n">
        <v>0</v>
      </c>
    </row>
    <row r="17" customFormat="false" ht="21.75" hidden="false" customHeight="true" outlineLevel="0" collapsed="false">
      <c r="A17" s="10" t="s">
        <v>235</v>
      </c>
      <c r="B17" s="10" t="s">
        <v>236</v>
      </c>
      <c r="C17" s="33" t="n">
        <v>0</v>
      </c>
      <c r="D17" s="33" t="n">
        <v>0</v>
      </c>
      <c r="E17" s="33" t="n">
        <v>0</v>
      </c>
      <c r="F17" s="33" t="n">
        <v>0</v>
      </c>
      <c r="G17" s="33" t="n">
        <v>0</v>
      </c>
      <c r="H17" s="33" t="n">
        <v>0</v>
      </c>
    </row>
    <row r="18" customFormat="false" ht="21.75" hidden="false" customHeight="true" outlineLevel="0" collapsed="false">
      <c r="A18" s="10" t="s">
        <v>243</v>
      </c>
      <c r="B18" s="10" t="s">
        <v>244</v>
      </c>
      <c r="C18" s="33" t="n">
        <v>0</v>
      </c>
      <c r="D18" s="33" t="n">
        <v>0</v>
      </c>
      <c r="E18" s="33" t="n">
        <v>0</v>
      </c>
      <c r="F18" s="33" t="n">
        <v>0</v>
      </c>
      <c r="G18" s="33" t="n">
        <v>0</v>
      </c>
      <c r="H18" s="33" t="n">
        <v>0</v>
      </c>
    </row>
    <row r="19" customFormat="false" ht="21.75" hidden="false" customHeight="true" outlineLevel="0" collapsed="false">
      <c r="A19" s="10" t="s">
        <v>251</v>
      </c>
      <c r="B19" s="10" t="s">
        <v>252</v>
      </c>
      <c r="C19" s="33" t="n">
        <v>0</v>
      </c>
      <c r="D19" s="33" t="n">
        <v>0</v>
      </c>
      <c r="E19" s="33" t="n">
        <v>0</v>
      </c>
      <c r="F19" s="33" t="n">
        <v>0</v>
      </c>
      <c r="G19" s="33" t="n">
        <v>0</v>
      </c>
      <c r="H19" s="33" t="n">
        <v>0</v>
      </c>
    </row>
    <row r="20" customFormat="false" ht="21.75" hidden="false" customHeight="true" outlineLevel="0" collapsed="false">
      <c r="A20" s="10" t="s">
        <v>259</v>
      </c>
      <c r="B20" s="10" t="s">
        <v>260</v>
      </c>
      <c r="C20" s="33" t="n">
        <v>0</v>
      </c>
      <c r="D20" s="33" t="n">
        <v>0</v>
      </c>
      <c r="E20" s="33" t="n">
        <v>0</v>
      </c>
      <c r="F20" s="33" t="n">
        <v>0</v>
      </c>
      <c r="G20" s="33" t="n">
        <v>0</v>
      </c>
      <c r="H20" s="33" t="n">
        <v>0</v>
      </c>
    </row>
    <row r="21" customFormat="false" ht="21.75" hidden="false" customHeight="true" outlineLevel="0" collapsed="false">
      <c r="A21" s="10" t="s">
        <v>267</v>
      </c>
      <c r="B21" s="10" t="s">
        <v>268</v>
      </c>
      <c r="C21" s="33" t="n">
        <v>0</v>
      </c>
      <c r="D21" s="33" t="n">
        <v>0</v>
      </c>
      <c r="E21" s="33" t="n">
        <v>0</v>
      </c>
      <c r="F21" s="33" t="n">
        <v>0</v>
      </c>
      <c r="G21" s="33" t="n">
        <v>0</v>
      </c>
      <c r="H21" s="33" t="n">
        <v>0</v>
      </c>
    </row>
    <row r="22" customFormat="false" ht="21.75" hidden="false" customHeight="true" outlineLevel="0" collapsed="false">
      <c r="A22" s="10" t="s">
        <v>275</v>
      </c>
      <c r="B22" s="10" t="s">
        <v>276</v>
      </c>
      <c r="C22" s="33" t="n">
        <v>0</v>
      </c>
      <c r="D22" s="33" t="n">
        <v>0</v>
      </c>
      <c r="E22" s="33" t="n">
        <v>0</v>
      </c>
      <c r="F22" s="33" t="n">
        <v>0</v>
      </c>
      <c r="G22" s="33" t="n">
        <v>0</v>
      </c>
      <c r="H22" s="33" t="n">
        <v>0</v>
      </c>
    </row>
    <row r="23" customFormat="false" ht="21.75" hidden="false" customHeight="true" outlineLevel="0" collapsed="false">
      <c r="A23" s="10" t="s">
        <v>283</v>
      </c>
      <c r="B23" s="10" t="s">
        <v>284</v>
      </c>
      <c r="C23" s="33" t="n">
        <v>0</v>
      </c>
      <c r="D23" s="33" t="n">
        <v>0</v>
      </c>
      <c r="E23" s="33" t="n">
        <v>0</v>
      </c>
      <c r="F23" s="33" t="n">
        <v>0</v>
      </c>
      <c r="G23" s="33" t="n">
        <v>0</v>
      </c>
      <c r="H23" s="33" t="n">
        <v>0</v>
      </c>
    </row>
    <row r="24" customFormat="false" ht="21.75" hidden="false" customHeight="true" outlineLevel="0" collapsed="false">
      <c r="A24" s="10" t="s">
        <v>291</v>
      </c>
      <c r="B24" s="10" t="s">
        <v>292</v>
      </c>
      <c r="C24" s="33" t="n">
        <v>0</v>
      </c>
      <c r="D24" s="33" t="n">
        <v>0</v>
      </c>
      <c r="E24" s="33" t="n">
        <v>0</v>
      </c>
      <c r="F24" s="33" t="n">
        <v>0</v>
      </c>
      <c r="G24" s="33" t="n">
        <v>0</v>
      </c>
      <c r="H24" s="33" t="n">
        <v>0</v>
      </c>
    </row>
    <row r="25" customFormat="false" ht="21.75" hidden="false" customHeight="true" outlineLevel="0" collapsed="false">
      <c r="A25" s="10" t="s">
        <v>299</v>
      </c>
      <c r="B25" s="10" t="s">
        <v>300</v>
      </c>
      <c r="C25" s="33" t="n">
        <v>0</v>
      </c>
      <c r="D25" s="33" t="n">
        <v>0</v>
      </c>
      <c r="E25" s="33" t="n">
        <v>0</v>
      </c>
      <c r="F25" s="33" t="n">
        <v>0</v>
      </c>
      <c r="G25" s="33" t="n">
        <v>0</v>
      </c>
      <c r="H25" s="33" t="n">
        <v>0</v>
      </c>
    </row>
    <row r="26" customFormat="false" ht="21.75" hidden="false" customHeight="true" outlineLevel="0" collapsed="false">
      <c r="A26" s="10" t="s">
        <v>307</v>
      </c>
      <c r="B26" s="10" t="s">
        <v>308</v>
      </c>
      <c r="C26" s="33" t="n">
        <v>0</v>
      </c>
      <c r="D26" s="33" t="n">
        <v>0</v>
      </c>
      <c r="E26" s="33" t="n">
        <v>0</v>
      </c>
      <c r="F26" s="33" t="n">
        <v>0</v>
      </c>
      <c r="G26" s="33" t="n">
        <v>0</v>
      </c>
      <c r="H26" s="33" t="n">
        <v>0</v>
      </c>
    </row>
    <row r="27" customFormat="false" ht="21.75" hidden="false" customHeight="true" outlineLevel="0" collapsed="false">
      <c r="A27" s="10" t="s">
        <v>309</v>
      </c>
      <c r="B27" s="10" t="s">
        <v>310</v>
      </c>
      <c r="C27" s="33" t="n">
        <v>0</v>
      </c>
      <c r="D27" s="33" t="n">
        <v>0</v>
      </c>
      <c r="E27" s="33" t="n">
        <v>0</v>
      </c>
      <c r="F27" s="33" t="n">
        <v>0</v>
      </c>
      <c r="G27" s="33" t="n">
        <v>0</v>
      </c>
      <c r="H27" s="33" t="n">
        <v>0</v>
      </c>
    </row>
    <row r="28" customFormat="false" ht="21.75" hidden="false" customHeight="true" outlineLevel="0" collapsed="false">
      <c r="A28" s="10" t="s">
        <v>311</v>
      </c>
      <c r="B28" s="10" t="s">
        <v>312</v>
      </c>
      <c r="C28" s="33" t="n">
        <v>0</v>
      </c>
      <c r="D28" s="33" t="n">
        <v>0</v>
      </c>
      <c r="E28" s="33" t="n">
        <v>0</v>
      </c>
      <c r="F28" s="33" t="n">
        <v>0</v>
      </c>
      <c r="G28" s="33" t="n">
        <v>0</v>
      </c>
      <c r="H28" s="33" t="n">
        <v>0</v>
      </c>
    </row>
    <row r="29" customFormat="false" ht="21.75" hidden="false" customHeight="true" outlineLevel="0" collapsed="false">
      <c r="A29" s="10" t="s">
        <v>313</v>
      </c>
      <c r="B29" s="10" t="s">
        <v>314</v>
      </c>
      <c r="C29" s="33" t="n">
        <v>0</v>
      </c>
      <c r="D29" s="33" t="n">
        <v>0</v>
      </c>
      <c r="E29" s="33" t="n">
        <v>0</v>
      </c>
      <c r="F29" s="33" t="n">
        <v>0</v>
      </c>
      <c r="G29" s="33" t="n">
        <v>0</v>
      </c>
      <c r="H29" s="33" t="n">
        <v>0</v>
      </c>
    </row>
    <row r="30" customFormat="false" ht="15" hidden="false" customHeight="false" outlineLevel="0" collapsed="false">
      <c r="B30" s="22" t="s">
        <v>577</v>
      </c>
      <c r="C30" s="34" t="n">
        <f aca="false">SUM(C4:C29)</f>
        <v>0</v>
      </c>
      <c r="D30" s="34" t="n">
        <f aca="false">SUM(D4:D29)</f>
        <v>0</v>
      </c>
      <c r="E30" s="34" t="n">
        <f aca="false">SUM(E4:E29)</f>
        <v>0</v>
      </c>
      <c r="F30" s="34" t="n">
        <f aca="false">SUM(F4:F29)</f>
        <v>0</v>
      </c>
      <c r="G30" s="34" t="n">
        <f aca="false">SUM(G4:G29)</f>
        <v>0</v>
      </c>
      <c r="H30" s="34" t="n">
        <f aca="false">SUM(H4:H29)</f>
        <v>0</v>
      </c>
    </row>
    <row r="31" customFormat="false" ht="15" hidden="false" customHeight="false" outlineLevel="0" collapsed="false">
      <c r="B31" s="35" t="s">
        <v>578</v>
      </c>
      <c r="C31" s="36" t="n">
        <v>230</v>
      </c>
      <c r="D31" s="36" t="n">
        <v>120</v>
      </c>
      <c r="E31" s="36" t="n">
        <v>25</v>
      </c>
      <c r="F31" s="36" t="n">
        <v>20</v>
      </c>
      <c r="G31" s="36" t="n">
        <v>6</v>
      </c>
      <c r="H31" s="36" t="n">
        <v>250000</v>
      </c>
    </row>
    <row r="32" customFormat="false" ht="15" hidden="false" customHeight="false" outlineLevel="0" collapsed="false">
      <c r="B32" s="17" t="s">
        <v>579</v>
      </c>
      <c r="C32" s="37" t="n">
        <f aca="false">IFERROR(C30/C31,0)</f>
        <v>0</v>
      </c>
      <c r="D32" s="37" t="n">
        <f aca="false">IFERROR(D30/D31,0)</f>
        <v>0</v>
      </c>
      <c r="E32" s="37" t="n">
        <f aca="false">IFERROR(E30/E31,0)</f>
        <v>0</v>
      </c>
      <c r="F32" s="37" t="n">
        <f aca="false">IFERROR(F30/F31,0)</f>
        <v>0</v>
      </c>
      <c r="G32" s="37" t="n">
        <f aca="false">IFERROR(G30/G31,0)</f>
        <v>0</v>
      </c>
      <c r="H32" s="37" t="n">
        <f aca="false">IFERROR(H30/H31,0)</f>
        <v>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2026-04-20T09:43:06Z</dcterms:created>
  <dc:creator>openpyxl</dc:creator>
  <dc:description/>
  <dc:language>en-US</dc:language>
  <cp:lastModifiedBy/>
  <dcterms:modified xsi:type="dcterms:W3CDTF">2026-04-20T09:43:07Z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