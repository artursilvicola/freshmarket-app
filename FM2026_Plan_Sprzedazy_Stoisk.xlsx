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Streszczenie" sheetId="1" state="visible" r:id="rId3"/>
    <sheet name="1. Segmentacja" sheetId="2" state="visible" r:id="rId4"/>
    <sheet name="2. Lejek Livespace" sheetId="3" state="visible" r:id="rId5"/>
    <sheet name="3. Targety i KPI" sheetId="4" state="visible" r:id="rId6"/>
    <sheet name="4. Harmonogram" sheetId="5" state="visible" r:id="rId7"/>
    <sheet name="5. Zasoby + budzet" sheetId="6" state="visible" r:id="rId8"/>
    <sheet name="6. Historia 5 la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<sst xmlns="http://schemas.openxmlformats.org/spreadsheetml/2006/main" count="1005" uniqueCount="643">
  <si>
    <t xml:space="preserve">PLAN SPRZEDAŻY STOISK · FRESH MARKET 2026</t>
  </si>
  <si>
    <t xml:space="preserve">20. edycja · 24 września 2026 (czwartek) · Warszawa · Exhibitors Hub</t>
  </si>
  <si>
    <t xml:space="preserve">PUNKT WYJŚCIA (29.04.2026)</t>
  </si>
  <si>
    <t xml:space="preserve">Źródło</t>
  </si>
  <si>
    <t xml:space="preserve">Wartość</t>
  </si>
  <si>
    <t xml:space="preserve">Jedn.</t>
  </si>
  <si>
    <t xml:space="preserve">Komentarz</t>
  </si>
  <si>
    <t xml:space="preserve">Aktywne szanse FM2026 w Livespace</t>
  </si>
  <si>
    <t xml:space="preserve">szans</t>
  </si>
  <si>
    <t xml:space="preserve">Lejek: Zaproszenie 39, Decyzje 44, Finalizacja 0</t>
  </si>
  <si>
    <t xml:space="preserve">Historyczni wystawcy (grupa Fresh Market 2022)</t>
  </si>
  <si>
    <t xml:space="preserve">firm</t>
  </si>
  <si>
    <t xml:space="preserve">Reaktywacja kampanią 'Wracamy po 20 latach'</t>
  </si>
  <si>
    <t xml:space="preserve">Baza ICP: producenci owoce/warzywa</t>
  </si>
  <si>
    <t xml:space="preserve">Główna pula prospektów</t>
  </si>
  <si>
    <t xml:space="preserve">Baza ICP: opakowania</t>
  </si>
  <si>
    <t xml:space="preserve">Adjacent ICP - dostawcy dla branży</t>
  </si>
  <si>
    <t xml:space="preserve">Baza ICP: kwiaty/rośliny</t>
  </si>
  <si>
    <t xml:space="preserve">Sub-segment z historycznymi wystawcami</t>
  </si>
  <si>
    <t xml:space="preserve">Baza ICP: usługi dla rolnictwa</t>
  </si>
  <si>
    <t xml:space="preserve">Tech, IT, traceability, cold chain</t>
  </si>
  <si>
    <t xml:space="preserve">Baza ICP: dystrybutorzy + rynek hurtowy</t>
  </si>
  <si>
    <t xml:space="preserve">24+24 - kanał B2B</t>
  </si>
  <si>
    <t xml:space="preserve">Cold mail 2024 (do reaktywacji)</t>
  </si>
  <si>
    <t xml:space="preserve">kontaktów</t>
  </si>
  <si>
    <t xml:space="preserve">Wcześniejsza kampania zimnego mailingu</t>
  </si>
  <si>
    <t xml:space="preserve">Tagi międzynarodowe (Fruit Logistica/Attraction)</t>
  </si>
  <si>
    <t xml:space="preserve">fruitlogistica2024 + fruitattraction2021</t>
  </si>
  <si>
    <t xml:space="preserve">CELE SPRZEDAŻOWE STOISK (do 24.09.2026)</t>
  </si>
  <si>
    <t xml:space="preserve">Cel</t>
  </si>
  <si>
    <t xml:space="preserve">Miara</t>
  </si>
  <si>
    <t xml:space="preserve">Target</t>
  </si>
  <si>
    <t xml:space="preserve">Stan dziś</t>
  </si>
  <si>
    <t xml:space="preserve">Luka</t>
  </si>
  <si>
    <t xml:space="preserve">Wystawcy potwierdzeni (suma stoisk)</t>
  </si>
  <si>
    <t xml:space="preserve">Liczba firm z podpisaną umową stoiska</t>
  </si>
  <si>
    <t xml:space="preserve">Built Stand 6m² + Light Stand 6m²</t>
  </si>
  <si>
    <t xml:space="preserve">Stoiska Built (premium)</t>
  </si>
  <si>
    <t xml:space="preserve">Built Stand 6m²</t>
  </si>
  <si>
    <t xml:space="preserve">Wyższa cena, pełny montaż</t>
  </si>
  <si>
    <t xml:space="preserve">Stoiska Light</t>
  </si>
  <si>
    <t xml:space="preserve">Light Stand 6m²</t>
  </si>
  <si>
    <t xml:space="preserve">Standardowa zabudowa</t>
  </si>
  <si>
    <t xml:space="preserve">Wartość przychodu ze stoisk (EUR)</t>
  </si>
  <si>
    <t xml:space="preserve">Sumaryczna wartość zakontraktowana</t>
  </si>
  <si>
    <t xml:space="preserve">Średnio ~1583 EUR/stoisko</t>
  </si>
  <si>
    <t xml:space="preserve">Konwersja lejka Zaproszenie→Wygrana</t>
  </si>
  <si>
    <t xml:space="preserve">% szans, które przejdą do Finalizacji</t>
  </si>
  <si>
    <t xml:space="preserve">Branżowy benchmark B2B 25-35%</t>
  </si>
  <si>
    <t xml:space="preserve">Pierwsi early bookerzy (do 30.06)</t>
  </si>
  <si>
    <t xml:space="preserve">Wystawcy potwierdzeni do końca czerwca</t>
  </si>
  <si>
    <t xml:space="preserve">First Booked = Better Location</t>
  </si>
  <si>
    <t xml:space="preserve">Reaktywacja historycznych wystawców</t>
  </si>
  <si>
    <t xml:space="preserve">Firmy z grupy 'Fresh Market 2022'</t>
  </si>
  <si>
    <t xml:space="preserve">Ze 127 historycznych - cel 20%</t>
  </si>
  <si>
    <t xml:space="preserve">Nowi międzynarodowi wystawcy</t>
  </si>
  <si>
    <t xml:space="preserve">Wystawcy spoza PL</t>
  </si>
  <si>
    <t xml:space="preserve">EU + Mediterranean basin</t>
  </si>
  <si>
    <t xml:space="preserve">Sponsorzy stoisk (premium)</t>
  </si>
  <si>
    <t xml:space="preserve">Pakiety Sponsor Generalny + Eventu</t>
  </si>
  <si>
    <t xml:space="preserve">Łączna wartość ~20k EUR</t>
  </si>
  <si>
    <t xml:space="preserve">SEGMENTACJA WYSTAWCÓW · ICP I PRIORYTETY</t>
  </si>
  <si>
    <t xml:space="preserve">Tier 1 (HOT) — domknięcie do 30.06 · Tier 2 (WARM) — domknięcie do 31.07 (Early Bird) · Tier 3 (COLD) — outreach do 31.08</t>
  </si>
  <si>
    <t xml:space="preserve">Segment ICP</t>
  </si>
  <si>
    <t xml:space="preserve">Opis profilu</t>
  </si>
  <si>
    <t xml:space="preserve">Tier</t>
  </si>
  <si>
    <t xml:space="preserve">Univ. Livespace</t>
  </si>
  <si>
    <t xml:space="preserve">Realny target stoisk</t>
  </si>
  <si>
    <t xml:space="preserve">Priorytet kanału #1</t>
  </si>
  <si>
    <t xml:space="preserve">Priorytet kanału #2</t>
  </si>
  <si>
    <t xml:space="preserve">Komunikat kluczowy</t>
  </si>
  <si>
    <t xml:space="preserve">Producenci owoców i warzyw (PL)</t>
  </si>
  <si>
    <t xml:space="preserve">Sady, plantacje, packhousy, grupy producenckie z PL. Core ICP – największa pula.</t>
  </si>
  <si>
    <t xml:space="preserve">Tier 2</t>
  </si>
  <si>
    <t xml:space="preserve">E-mail 1:1 z bazy</t>
  </si>
  <si>
    <t xml:space="preserve">LinkedIn organic + Ads</t>
  </si>
  <si>
    <t xml:space="preserve">Pokaż się 25 sieciom handlowym w 1 dzień. Stoisko = lokalizacja przy strefie spotkań B2B.</t>
  </si>
  <si>
    <t xml:space="preserve">Historyczni wystawcy Fresh Market</t>
  </si>
  <si>
    <t xml:space="preserve">Firmy z grupy 'Fresh Market 2022' (127). Mają wspomnienie marki, najwyższa konwersja.</t>
  </si>
  <si>
    <t xml:space="preserve">Tier 1</t>
  </si>
  <si>
    <t xml:space="preserve">Mailing 'Wracamy po 20 latach'</t>
  </si>
  <si>
    <t xml:space="preserve">Personalny telefon</t>
  </si>
  <si>
    <t xml:space="preserve">Jubileuszowa 20. edycja. Twoja firma była z nami. Dołącz ponownie do historii FM.</t>
  </si>
  <si>
    <t xml:space="preserve">Aktywne szanse w Livespace (Decyzje)</t>
  </si>
  <si>
    <t xml:space="preserve">44 deale na etapie Decyzje (probability 17-56%). Najgorętszy segment.</t>
  </si>
  <si>
    <t xml:space="preserve">Telefon (closing call)</t>
  </si>
  <si>
    <t xml:space="preserve">Spotkanie online + propozycja</t>
  </si>
  <si>
    <t xml:space="preserve">Zarezerwuj stoisko w tym tygodniu – mapa wypełnia się od premium pozycji.</t>
  </si>
  <si>
    <t xml:space="preserve">Aktywne szanse w Livespace (Zaproszenie)</t>
  </si>
  <si>
    <t xml:space="preserve">39 deali świeżo wprowadzonych (probability 0-22%). Wymaga rozgrzania.</t>
  </si>
  <si>
    <t xml:space="preserve">E-mail follow-up + telefon</t>
  </si>
  <si>
    <t xml:space="preserve">LinkedIn InMail</t>
  </si>
  <si>
    <t xml:space="preserve">FM2026 to 24 września. Przypominam o zaproszeniu na stoisko - czy zarezerwować Ci miejsce?</t>
  </si>
  <si>
    <t xml:space="preserve">Producenci/dystrybutorzy kwiatów i roślin</t>
  </si>
  <si>
    <t xml:space="preserve">Grupa 'Kwiaty' (68). Specjalna kategoria – kwiaciarstwo + rośliny ozdobne.</t>
  </si>
  <si>
    <t xml:space="preserve">E-mail z bazy</t>
  </si>
  <si>
    <t xml:space="preserve">Targi branżowe (referrals)</t>
  </si>
  <si>
    <t xml:space="preserve">Jedyne miejsce w PL, gdzie retail + flora spotyka się w 1 dniu (jak Agro-Paprix 2010).</t>
  </si>
  <si>
    <t xml:space="preserve">Opakowania / packaging</t>
  </si>
  <si>
    <t xml:space="preserve">Grupa 'Opakowania' (202). Strategiczny adjacent ICP – dostawcy do producentów.</t>
  </si>
  <si>
    <t xml:space="preserve">LinkedIn outreach</t>
  </si>
  <si>
    <t xml:space="preserve">E-mailing skierowany</t>
  </si>
  <si>
    <t xml:space="preserve">350 osób z branży fresh, 60+ dostawców z potrzebami opakowań – Twój klient czeka.</t>
  </si>
  <si>
    <t xml:space="preserve">Nasiona, hodowla, agrotechnologia</t>
  </si>
  <si>
    <t xml:space="preserve">Bejo Zaden, Hazera, Yuksel, Sakata, Rijk Zwaan, Enza Zaden. Wielokrotni wystawcy.</t>
  </si>
  <si>
    <t xml:space="preserve">Account-based: telefon + spotkanie</t>
  </si>
  <si>
    <t xml:space="preserve">LinkedIn personalizowany</t>
  </si>
  <si>
    <t xml:space="preserve">Spotkasz producentów odbierających Twoje nasiona. Premium stoisko + branding całoroczny.</t>
  </si>
  <si>
    <t xml:space="preserve">Logistyka / cold chain</t>
  </si>
  <si>
    <t xml:space="preserve">Grupa 'logistyka' (19) + 'rynek hurtowy' (24). Lineage, IFCO, Aldetrans, Euro Pool.</t>
  </si>
  <si>
    <t xml:space="preserve">Telefon do account managera</t>
  </si>
  <si>
    <t xml:space="preserve">LinkedIn</t>
  </si>
  <si>
    <t xml:space="preserve">Logistyka świeża = serce branży. Twoi klienci są tutaj jeden dzień, jeden raz w roku.</t>
  </si>
  <si>
    <t xml:space="preserve">IT / traceability / SaaS dla fresh</t>
  </si>
  <si>
    <t xml:space="preserve">PIK Global, Harmoniz, Assecobs, Sinclair, Heliospectra. Fast-growing kategoria.</t>
  </si>
  <si>
    <t xml:space="preserve">LinkedIn + spersonalizowany e-mail</t>
  </si>
  <si>
    <t xml:space="preserve">Webinar zaproszenie</t>
  </si>
  <si>
    <t xml:space="preserve">350 decydentów branży = Twój pipeline na 6 miesięcy.</t>
  </si>
  <si>
    <t xml:space="preserve">Międzynarodowi (Mediterranean + EU)</t>
  </si>
  <si>
    <t xml:space="preserve">Tagi fruitlogistica2024 + fruitattraction2021. ES, IT, GR, NL, FR, MD, TR.</t>
  </si>
  <si>
    <t xml:space="preserve">E-mail w EN + LinkedIn</t>
  </si>
  <si>
    <t xml:space="preserve">Współpraca z PROCHILE/IME Project</t>
  </si>
  <si>
    <t xml:space="preserve">Polska = rynek 38M konsumentów. 25 sieci PL/CEE w 1 dniu.</t>
  </si>
  <si>
    <t xml:space="preserve">Cold mail 2024 (reaktywacja)</t>
  </si>
  <si>
    <t xml:space="preserve">1491 kontaktów z poprzedniej kampanii zimnego mailingu. Status nieznany.</t>
  </si>
  <si>
    <t xml:space="preserve">Tier 3</t>
  </si>
  <si>
    <t xml:space="preserve">Sekwencja e-mail (3 wysyłki)</t>
  </si>
  <si>
    <t xml:space="preserve">Retargeting LinkedIn</t>
  </si>
  <si>
    <t xml:space="preserve">Pamiętasz Fresh Market? Wracamy z jubileuszową 20. edycją - sprawdź agendę.</t>
  </si>
  <si>
    <t xml:space="preserve">SUMA / cel łączny stoisk</t>
  </si>
  <si>
    <t xml:space="preserve">AKTYWNE SZANSE FM2026 W LIVESPACE · STAN NA 29.04.2026</t>
  </si>
  <si>
    <t xml:space="preserve">Lejek 3-stopniowy: Zaproszenie na FM26 → Decyzje → Finalizacja. Cel: konwersja Zaproszenie→Wygrana 30%.</t>
  </si>
  <si>
    <t xml:space="preserve">Łącznie szans: 79</t>
  </si>
  <si>
    <t xml:space="preserve">ID szansy</t>
  </si>
  <si>
    <t xml:space="preserve">Firma</t>
  </si>
  <si>
    <t xml:space="preserve">Etap</t>
  </si>
  <si>
    <t xml:space="preserve">Probability %</t>
  </si>
  <si>
    <t xml:space="preserve">Tier ICP</t>
  </si>
  <si>
    <t xml:space="preserve">Akcja w 30 dni</t>
  </si>
  <si>
    <t xml:space="preserve">RED PLANT Sp. z o.o.</t>
  </si>
  <si>
    <t xml:space="preserve">Zaproszenie</t>
  </si>
  <si>
    <t xml:space="preserve">Telefon + e-mail offer</t>
  </si>
  <si>
    <t xml:space="preserve">Euro Pool System Poland Sp. z o.o.</t>
  </si>
  <si>
    <t xml:space="preserve">Spotkanie - logistyka pooling</t>
  </si>
  <si>
    <t xml:space="preserve">FRESH RETAIL PACKING Sp. z o.o.</t>
  </si>
  <si>
    <t xml:space="preserve">Pre-call + propozycja Built Stand</t>
  </si>
  <si>
    <t xml:space="preserve">Heliospectra AB</t>
  </si>
  <si>
    <t xml:space="preserve">LinkedIn outreach EN</t>
  </si>
  <si>
    <t xml:space="preserve">VEFI EUROPA Sp. z o.o.</t>
  </si>
  <si>
    <t xml:space="preserve">E-mail follow-up</t>
  </si>
  <si>
    <t xml:space="preserve">Bejo Zaden Poland</t>
  </si>
  <si>
    <t xml:space="preserve">Telefon - returning sponsor</t>
  </si>
  <si>
    <t xml:space="preserve">TERRA-PLANT Piotr Kaczmarczyk</t>
  </si>
  <si>
    <t xml:space="preserve">E-mail + przegląd oferty</t>
  </si>
  <si>
    <t xml:space="preserve">(deal: nie bedzie)</t>
  </si>
  <si>
    <t xml:space="preserve">-</t>
  </si>
  <si>
    <t xml:space="preserve">Zamknąć jako Przegrana</t>
  </si>
  <si>
    <t xml:space="preserve">Exquisite Fruits SL</t>
  </si>
  <si>
    <t xml:space="preserve">E-mail EN + propozycja</t>
  </si>
  <si>
    <t xml:space="preserve">WIKIFARMER</t>
  </si>
  <si>
    <t xml:space="preserve">Spotkanie online</t>
  </si>
  <si>
    <t xml:space="preserve">LEGSAD Sp. z o.o.</t>
  </si>
  <si>
    <t xml:space="preserve">Telefon do decydenta</t>
  </si>
  <si>
    <t xml:space="preserve">Broś &amp; Broś Sp. z o. o.</t>
  </si>
  <si>
    <t xml:space="preserve">E-mail + agenda dnia</t>
  </si>
  <si>
    <t xml:space="preserve">Moldova Fruct</t>
  </si>
  <si>
    <t xml:space="preserve">Współpraca z PROCHILE/Mołdowa</t>
  </si>
  <si>
    <t xml:space="preserve">Enza Zaden (2 600 EUR)</t>
  </si>
  <si>
    <t xml:space="preserve">Closing call - sponsor candidate</t>
  </si>
  <si>
    <t xml:space="preserve">AKSUN TARIMSAL</t>
  </si>
  <si>
    <t xml:space="preserve">E-mail EN + zdj. stoisk</t>
  </si>
  <si>
    <t xml:space="preserve">RO.GR.AN. S.r.l.</t>
  </si>
  <si>
    <t xml:space="preserve">E-mail EN + agenda</t>
  </si>
  <si>
    <t xml:space="preserve">FALCON Adrian Babiński</t>
  </si>
  <si>
    <t xml:space="preserve">Telefon</t>
  </si>
  <si>
    <t xml:space="preserve">F.P.H.U NEWPOL Niewczas</t>
  </si>
  <si>
    <t xml:space="preserve">E-mail + telefon</t>
  </si>
  <si>
    <t xml:space="preserve">Larex Fruit Sp. z o.o.</t>
  </si>
  <si>
    <t xml:space="preserve">E-mail + cennik</t>
  </si>
  <si>
    <t xml:space="preserve">AGRO-WIT</t>
  </si>
  <si>
    <t xml:space="preserve">Den Berk Délice</t>
  </si>
  <si>
    <t xml:space="preserve">E-mail EN (BE)</t>
  </si>
  <si>
    <t xml:space="preserve">Fresh Inset</t>
  </si>
  <si>
    <t xml:space="preserve">Paweko</t>
  </si>
  <si>
    <t xml:space="preserve">Closing call</t>
  </si>
  <si>
    <t xml:space="preserve">SAKATA SEED IBERICA</t>
  </si>
  <si>
    <t xml:space="preserve">Account-based outreach</t>
  </si>
  <si>
    <t xml:space="preserve">Idealsad Sp.zo.o.</t>
  </si>
  <si>
    <t xml:space="preserve">E-mail + agenda</t>
  </si>
  <si>
    <t xml:space="preserve">Fresh Quality</t>
  </si>
  <si>
    <t xml:space="preserve">Rijk Zwaan Polska</t>
  </si>
  <si>
    <t xml:space="preserve">Telefon + sponsor pitch</t>
  </si>
  <si>
    <t xml:space="preserve">Dimdiņi</t>
  </si>
  <si>
    <t xml:space="preserve">E-mail EN (LV)</t>
  </si>
  <si>
    <t xml:space="preserve">SILBO Sp.</t>
  </si>
  <si>
    <t xml:space="preserve">IFCO Systems Poland</t>
  </si>
  <si>
    <t xml:space="preserve">Spotkanie - returning</t>
  </si>
  <si>
    <t xml:space="preserve">Arvanitakis Fruits (Fruiton)</t>
  </si>
  <si>
    <t xml:space="preserve">E-mail EN (GR)</t>
  </si>
  <si>
    <t xml:space="preserve">Aldetrans</t>
  </si>
  <si>
    <t xml:space="preserve">PIK Global</t>
  </si>
  <si>
    <t xml:space="preserve">Spotkanie - tech</t>
  </si>
  <si>
    <t xml:space="preserve">Poorthuis packaging</t>
  </si>
  <si>
    <t xml:space="preserve">E-mail EN</t>
  </si>
  <si>
    <t xml:space="preserve">Harmoniz</t>
  </si>
  <si>
    <t xml:space="preserve">Spotkanie + demo</t>
  </si>
  <si>
    <t xml:space="preserve">SanLucar</t>
  </si>
  <si>
    <t xml:space="preserve">E-mail EN + branding</t>
  </si>
  <si>
    <t xml:space="preserve">Zielono MicroGreens</t>
  </si>
  <si>
    <t xml:space="preserve">Agri Gem Sp. z o. o.</t>
  </si>
  <si>
    <t xml:space="preserve">Lineage Logistics</t>
  </si>
  <si>
    <t xml:space="preserve">Decyzje</t>
  </si>
  <si>
    <t xml:space="preserve">Closing call - cold chain</t>
  </si>
  <si>
    <t xml:space="preserve">F.H. Nowalijka P. Wychowałek</t>
  </si>
  <si>
    <t xml:space="preserve">Closing call (HOT)</t>
  </si>
  <si>
    <t xml:space="preserve">PROCHILE</t>
  </si>
  <si>
    <t xml:space="preserve">Spotkanie + pakiet sponsor</t>
  </si>
  <si>
    <t xml:space="preserve">NNZ Sp. z o.o.</t>
  </si>
  <si>
    <t xml:space="preserve">Telefon + propozycja</t>
  </si>
  <si>
    <t xml:space="preserve">Alconsa Polska Nazinyan</t>
  </si>
  <si>
    <t xml:space="preserve">P.W. KRZYŚ-MAR S.C.</t>
  </si>
  <si>
    <t xml:space="preserve">FibriTech Sp. z o.o.</t>
  </si>
  <si>
    <t xml:space="preserve">IME Project</t>
  </si>
  <si>
    <t xml:space="preserve">Spotkanie międzynar.</t>
  </si>
  <si>
    <t xml:space="preserve">PELMA Grzegorczyk</t>
  </si>
  <si>
    <t xml:space="preserve">G.P.O.i W. Polfarm Sp z.o.o</t>
  </si>
  <si>
    <t xml:space="preserve">"KA-MAR" RUDZIŃSCY</t>
  </si>
  <si>
    <t xml:space="preserve">HAZERA Poland Sp. z o.o.</t>
  </si>
  <si>
    <t xml:space="preserve">CLOSING CALL (HOT)</t>
  </si>
  <si>
    <t xml:space="preserve">Sponsor pitch</t>
  </si>
  <si>
    <t xml:space="preserve">POLISH NATURAL GARLIC</t>
  </si>
  <si>
    <t xml:space="preserve">Bayer_Polska</t>
  </si>
  <si>
    <t xml:space="preserve">EuroVeg Kamil Krasoń</t>
  </si>
  <si>
    <t xml:space="preserve">Suncrops France</t>
  </si>
  <si>
    <t xml:space="preserve">E-mail EN + closing</t>
  </si>
  <si>
    <t xml:space="preserve">Galillee</t>
  </si>
  <si>
    <t xml:space="preserve">LubApple</t>
  </si>
  <si>
    <t xml:space="preserve">Reaktywacja</t>
  </si>
  <si>
    <t xml:space="preserve">Redpack Packaging Machinery</t>
  </si>
  <si>
    <t xml:space="preserve">AGJ s.c. Krajniak Michalak</t>
  </si>
  <si>
    <t xml:space="preserve">Nature`s Produce Sp. z o.o.</t>
  </si>
  <si>
    <t xml:space="preserve">FRESH RETAIL PACKING (2)</t>
  </si>
  <si>
    <t xml:space="preserve">Konsolidacja deali</t>
  </si>
  <si>
    <t xml:space="preserve">Cristobal Meseguer</t>
  </si>
  <si>
    <t xml:space="preserve">E-mail EN (ES)</t>
  </si>
  <si>
    <t xml:space="preserve">PHU AGRO PAPRIX</t>
  </si>
  <si>
    <t xml:space="preserve">HISTORYCZNY (2010)</t>
  </si>
  <si>
    <t xml:space="preserve">MUSHROOM BUSINESS LLC</t>
  </si>
  <si>
    <t xml:space="preserve">NIVA V. Kedyk Kiss my Hass</t>
  </si>
  <si>
    <t xml:space="preserve">Yuksel Seeds</t>
  </si>
  <si>
    <t xml:space="preserve">Dinopol</t>
  </si>
  <si>
    <t xml:space="preserve">HAJDUK Pieczarki</t>
  </si>
  <si>
    <t xml:space="preserve">Assecobs</t>
  </si>
  <si>
    <t xml:space="preserve">Closing call IT</t>
  </si>
  <si>
    <t xml:space="preserve">Abb Growers Netherlands</t>
  </si>
  <si>
    <t xml:space="preserve">E-mail EN (NL)</t>
  </si>
  <si>
    <t xml:space="preserve">Sinclair® Fruit Labeling</t>
  </si>
  <si>
    <t xml:space="preserve">Euro Pool System (2)</t>
  </si>
  <si>
    <t xml:space="preserve">TOROPAK</t>
  </si>
  <si>
    <t xml:space="preserve">TOROPAK (duplikat)</t>
  </si>
  <si>
    <t xml:space="preserve">Konsolidacja</t>
  </si>
  <si>
    <t xml:space="preserve">West Food Sp. z o.o.</t>
  </si>
  <si>
    <t xml:space="preserve">West Food (duplikat)</t>
  </si>
  <si>
    <t xml:space="preserve">MOJO FRESH Sp. z o.o.</t>
  </si>
  <si>
    <t xml:space="preserve">Reaktywacja lub zamknięcie</t>
  </si>
  <si>
    <t xml:space="preserve">TARGETY SPRZEDAŻOWE I KPI · LEJEK + TYGODNIOWY TRACKER</t>
  </si>
  <si>
    <t xml:space="preserve">MODEL LEJKA</t>
  </si>
  <si>
    <t xml:space="preserve">Etap lejka</t>
  </si>
  <si>
    <t xml:space="preserve">Liczba</t>
  </si>
  <si>
    <t xml:space="preserve">Konwersja %</t>
  </si>
  <si>
    <t xml:space="preserve">Pula prospektów (universe)</t>
  </si>
  <si>
    <t xml:space="preserve">—</t>
  </si>
  <si>
    <t xml:space="preserve">Owoce/warzywa 10826 + tagi międzynar. 200 + opakowania 202 + reszta</t>
  </si>
  <si>
    <t xml:space="preserve">Top of funnel (rozgrzane kontakty)</t>
  </si>
  <si>
    <t xml:space="preserve">Cold mail 2024 1491 + sezon ogłoszeń</t>
  </si>
  <si>
    <t xml:space="preserve">MQL (Marketing Qualified Leads)</t>
  </si>
  <si>
    <t xml:space="preserve">Otwarcie maila + klik /exhibitors</t>
  </si>
  <si>
    <t xml:space="preserve">SQL (Sales Qualified Leads = Zaproszenie)</t>
  </si>
  <si>
    <t xml:space="preserve">Wysłana propozycja stoiska + odpowiedź</t>
  </si>
  <si>
    <t xml:space="preserve">Decyzje (rozmowa o ofercie)</t>
  </si>
  <si>
    <t xml:space="preserve">Negocjacja warunków, lokalizacji, terminów</t>
  </si>
  <si>
    <t xml:space="preserve">Wygrane (umowa + płatność)</t>
  </si>
  <si>
    <t xml:space="preserve">60 stoisk = cel</t>
  </si>
  <si>
    <t xml:space="preserve">TYGODNIOWY KPI TRACKER</t>
  </si>
  <si>
    <t xml:space="preserve">Tydzień</t>
  </si>
  <si>
    <t xml:space="preserve">Daty</t>
  </si>
  <si>
    <t xml:space="preserve">Touchpointy / outreach</t>
  </si>
  <si>
    <t xml:space="preserve">Nowe leady</t>
  </si>
  <si>
    <t xml:space="preserve">Spotkania/calls</t>
  </si>
  <si>
    <t xml:space="preserve">Oferty wysłane</t>
  </si>
  <si>
    <t xml:space="preserve">Stoiska zakontraktowane (cum.)</t>
  </si>
  <si>
    <t xml:space="preserve">Przychód cum. (EUR)</t>
  </si>
  <si>
    <t xml:space="preserve">S1</t>
  </si>
  <si>
    <t xml:space="preserve">27.04 - 03.05.2026</t>
  </si>
  <si>
    <t xml:space="preserve">S2</t>
  </si>
  <si>
    <t xml:space="preserve">04.05 - 10.05.2026</t>
  </si>
  <si>
    <t xml:space="preserve">S3</t>
  </si>
  <si>
    <t xml:space="preserve">11.05 - 17.05.2026</t>
  </si>
  <si>
    <t xml:space="preserve">S4</t>
  </si>
  <si>
    <t xml:space="preserve">18.05 - 24.05.2026</t>
  </si>
  <si>
    <t xml:space="preserve">S5</t>
  </si>
  <si>
    <t xml:space="preserve">25.05 - 31.05.2026</t>
  </si>
  <si>
    <t xml:space="preserve">S6</t>
  </si>
  <si>
    <t xml:space="preserve">01.06 - 07.06.2026</t>
  </si>
  <si>
    <t xml:space="preserve">S7</t>
  </si>
  <si>
    <t xml:space="preserve">08.06 - 14.06.2026</t>
  </si>
  <si>
    <t xml:space="preserve">S8</t>
  </si>
  <si>
    <t xml:space="preserve">15.06 - 21.06.2026</t>
  </si>
  <si>
    <t xml:space="preserve">S9</t>
  </si>
  <si>
    <t xml:space="preserve">22.06 - 28.06.2026</t>
  </si>
  <si>
    <t xml:space="preserve">S10</t>
  </si>
  <si>
    <t xml:space="preserve">29.06 - 05.07.2026</t>
  </si>
  <si>
    <t xml:space="preserve">S11</t>
  </si>
  <si>
    <t xml:space="preserve">06.07 - 12.07.2026</t>
  </si>
  <si>
    <t xml:space="preserve">S12</t>
  </si>
  <si>
    <t xml:space="preserve">13.07 - 19.07.2026</t>
  </si>
  <si>
    <t xml:space="preserve">S13</t>
  </si>
  <si>
    <t xml:space="preserve">20.07 - 26.07.2026</t>
  </si>
  <si>
    <t xml:space="preserve">S14</t>
  </si>
  <si>
    <t xml:space="preserve">27.07 - 02.08.2026</t>
  </si>
  <si>
    <t xml:space="preserve">S15</t>
  </si>
  <si>
    <t xml:space="preserve">03.08 - 09.08.2026</t>
  </si>
  <si>
    <t xml:space="preserve">S16</t>
  </si>
  <si>
    <t xml:space="preserve">10.08 - 16.08.2026</t>
  </si>
  <si>
    <t xml:space="preserve">S17</t>
  </si>
  <si>
    <t xml:space="preserve">17.08 - 23.08.2026</t>
  </si>
  <si>
    <t xml:space="preserve">S18</t>
  </si>
  <si>
    <t xml:space="preserve">24.08 - 30.08.2026</t>
  </si>
  <si>
    <t xml:space="preserve">S19</t>
  </si>
  <si>
    <t xml:space="preserve">31.08 - 06.09.2026</t>
  </si>
  <si>
    <t xml:space="preserve">S20</t>
  </si>
  <si>
    <t xml:space="preserve">07.09 - 13.09.2026</t>
  </si>
  <si>
    <t xml:space="preserve">S21</t>
  </si>
  <si>
    <t xml:space="preserve">14.09 - 20.09.2026</t>
  </si>
  <si>
    <t xml:space="preserve">S22</t>
  </si>
  <si>
    <t xml:space="preserve">21.09 - 24.09.2026</t>
  </si>
  <si>
    <t xml:space="preserve">SUMA</t>
  </si>
  <si>
    <t xml:space="preserve">cel: 60-64</t>
  </si>
  <si>
    <t xml:space="preserve">cel: 95k EUR</t>
  </si>
  <si>
    <t xml:space="preserve">HARMONOGRAM KAMPANII SPRZEDAŻOWEJ STOISK</t>
  </si>
  <si>
    <t xml:space="preserve">Solo (Arthur) + AI tools (Claude, Cowork, ChatGPT). Max 3 zadania kluczowe / tydzień.</t>
  </si>
  <si>
    <t xml:space="preserve">Faza</t>
  </si>
  <si>
    <t xml:space="preserve">Tier 1 (HOT)</t>
  </si>
  <si>
    <t xml:space="preserve">Tier 2 (WARM)</t>
  </si>
  <si>
    <t xml:space="preserve">Tier 3 (COLD)</t>
  </si>
  <si>
    <t xml:space="preserve">Kanał + budżet</t>
  </si>
  <si>
    <t xml:space="preserve">27.04-03.05</t>
  </si>
  <si>
    <t xml:space="preserve">Aktywacja Tier 1 + closing HOT</t>
  </si>
  <si>
    <t xml:space="preserve">Closing calls do 6 deali z 'Decyzje' &gt;40% (Hazera, Bayer, Nowalijka, Garlic, Yuksel, Bejo)</t>
  </si>
  <si>
    <t xml:space="preserve">Telefon do 39 deali z 'Zaproszenie' (status check)</t>
  </si>
  <si>
    <t xml:space="preserve">Mailing #1 do 1491 cold mail 2024</t>
  </si>
  <si>
    <t xml:space="preserve">Telefon (0€) + mail tool (40€)</t>
  </si>
  <si>
    <t xml:space="preserve">04.05-10.05</t>
  </si>
  <si>
    <t xml:space="preserve">Sponsor pitch + reaktywacja FM2022</t>
  </si>
  <si>
    <t xml:space="preserve">Pitch sponsorski Bejo Zaden, Hazera, Bayer, Yuksel, Rijk Zwaan</t>
  </si>
  <si>
    <t xml:space="preserve">E-mail #1 do 127 historycznych wystawców 'Wracamy po 20 latach'</t>
  </si>
  <si>
    <t xml:space="preserve">Mailing #2 cold mail (otwierający)</t>
  </si>
  <si>
    <t xml:space="preserve">Mail (40€) + LinkedIn organic</t>
  </si>
  <si>
    <t xml:space="preserve">11.05-17.05</t>
  </si>
  <si>
    <t xml:space="preserve">Personalizowany outreach FM2022</t>
  </si>
  <si>
    <t xml:space="preserve">Telefony do TOP 25 historycznych (np. Mega Fresh, Tajfun, Miorto, Cymes, Agro-Paprix)</t>
  </si>
  <si>
    <t xml:space="preserve">Sekwencja LinkedIn DM dla 39 deali Zaproszenie</t>
  </si>
  <si>
    <t xml:space="preserve">Retargeting Google Ads /exhibitors (Stands campaign)</t>
  </si>
  <si>
    <t xml:space="preserve">Google Ads stoiska 250 zł (PL) + 200 zł (EN)</t>
  </si>
  <si>
    <t xml:space="preserve">18.05-24.05</t>
  </si>
  <si>
    <t xml:space="preserve">Międzynarodowi (EN outreach)</t>
  </si>
  <si>
    <t xml:space="preserve">Pitch międzynar. liderom (Heliospectra, IFCO, Lineage, Sakata)</t>
  </si>
  <si>
    <t xml:space="preserve">E-mail EN do 200 firm z fruitlogistica2024 + fruitattraction2021</t>
  </si>
  <si>
    <t xml:space="preserve">Mailing #3 cold mail (klikujący /exhibitors)</t>
  </si>
  <si>
    <t xml:space="preserve">LinkedIn Ads EN (200€) + tłumaczenia</t>
  </si>
  <si>
    <t xml:space="preserve">25.05-31.05</t>
  </si>
  <si>
    <t xml:space="preserve">Opakowania + Logistyka</t>
  </si>
  <si>
    <t xml:space="preserve">Account-based: NNZ, IFCO, Euro Pool, FRESH RETAIL PACKING (closing)</t>
  </si>
  <si>
    <t xml:space="preserve">Outreach do 202 firm 'Opakowania' + 19 'logistyka'</t>
  </si>
  <si>
    <t xml:space="preserve">Mail + LinkedIn (zero $)</t>
  </si>
  <si>
    <t xml:space="preserve">01.06-07.06</t>
  </si>
  <si>
    <t xml:space="preserve">Tech / IT / Services</t>
  </si>
  <si>
    <t xml:space="preserve">Pitch dla PIK Global, Harmoniz, Assecobs, Sinclair (Decyzje)</t>
  </si>
  <si>
    <t xml:space="preserve">Outreach 176 firm 'usługi dla rolnictwa'</t>
  </si>
  <si>
    <t xml:space="preserve">Carousel LinkedIn 'Dlaczego Twój klient jest na FM2026'</t>
  </si>
  <si>
    <t xml:space="preserve">LinkedIn (zero $)</t>
  </si>
  <si>
    <t xml:space="preserve">08.06-14.06</t>
  </si>
  <si>
    <t xml:space="preserve">Push midfunnel</t>
  </si>
  <si>
    <t xml:space="preserve">Closing wszystkich Decyzje &gt;25% (24 firm)</t>
  </si>
  <si>
    <t xml:space="preserve">Follow-up #2 do Zaproszenie (39 firm)</t>
  </si>
  <si>
    <t xml:space="preserve">Mailing #4 - lista potwierdzonych wystawców</t>
  </si>
  <si>
    <t xml:space="preserve">Mail (40€)</t>
  </si>
  <si>
    <t xml:space="preserve">15.06-21.06</t>
  </si>
  <si>
    <t xml:space="preserve">Producenci PL - main wave</t>
  </si>
  <si>
    <t xml:space="preserve">Zamknięcie 6 stoisk premium (sponsorzy)</t>
  </si>
  <si>
    <t xml:space="preserve">Główny mailing do 10826 'Owoce warzywa' z bazy 6k</t>
  </si>
  <si>
    <t xml:space="preserve">Retargeting Display /exhibitors</t>
  </si>
  <si>
    <t xml:space="preserve">Mail (60€) + Google Ads RM (50€)</t>
  </si>
  <si>
    <t xml:space="preserve">22.06-28.06</t>
  </si>
  <si>
    <t xml:space="preserve">Spowolnienie + content</t>
  </si>
  <si>
    <t xml:space="preserve">Indywidualne follow-upy z najgorętszymi</t>
  </si>
  <si>
    <t xml:space="preserve">Sekwencja edukacyjna LinkedIn (5 postów)</t>
  </si>
  <si>
    <t xml:space="preserve">LinkedIn organic</t>
  </si>
  <si>
    <t xml:space="preserve">29.06-05.07</t>
  </si>
  <si>
    <t xml:space="preserve">Half-time review + reset</t>
  </si>
  <si>
    <t xml:space="preserve">Audyt deali - przeniesienie nieaktywnych do Przegrana</t>
  </si>
  <si>
    <t xml:space="preserve">Re-pitch do nieodpowiadających (40 firm Tier 2)</t>
  </si>
  <si>
    <t xml:space="preserve">Wewnętrzne (zero $)</t>
  </si>
  <si>
    <t xml:space="preserve">06.07-12.07</t>
  </si>
  <si>
    <t xml:space="preserve">Pre-Early Bird push</t>
  </si>
  <si>
    <t xml:space="preserve">Mailing 'Ostatnie 3 tyg do Early Bird stoisk' do TOP</t>
  </si>
  <si>
    <t xml:space="preserve">Mailing do 10826 (segment owoce)</t>
  </si>
  <si>
    <t xml:space="preserve">Mail (60€)</t>
  </si>
  <si>
    <t xml:space="preserve">13.07-19.07</t>
  </si>
  <si>
    <t xml:space="preserve">Early Bird tydzień</t>
  </si>
  <si>
    <t xml:space="preserve">Daily calls - zamknij 5 stoisk w tygodniu</t>
  </si>
  <si>
    <t xml:space="preserve">Codzienne LinkedIn 'kto już zarezerwował'</t>
  </si>
  <si>
    <t xml:space="preserve">Display Remarketing intensywny</t>
  </si>
  <si>
    <t xml:space="preserve">Google Ads +50% (100€)</t>
  </si>
  <si>
    <t xml:space="preserve">20.07-26.07</t>
  </si>
  <si>
    <t xml:space="preserve">Last Early Bird week</t>
  </si>
  <si>
    <t xml:space="preserve">Closing all hot deals przed 31.07</t>
  </si>
  <si>
    <t xml:space="preserve">Mailing reminder Early Bird 31.07</t>
  </si>
  <si>
    <t xml:space="preserve">Last call cold mail</t>
  </si>
  <si>
    <t xml:space="preserve">Mail (60€) + Google Ads max</t>
  </si>
  <si>
    <t xml:space="preserve">27.07-02.08</t>
  </si>
  <si>
    <t xml:space="preserve">Post-Early Bird reset</t>
  </si>
  <si>
    <t xml:space="preserve">Retencja - upsell na sponsorów</t>
  </si>
  <si>
    <t xml:space="preserve">Nowe ceny w komunikacji</t>
  </si>
  <si>
    <t xml:space="preserve">Zero $</t>
  </si>
  <si>
    <t xml:space="preserve">03.08-09.08</t>
  </si>
  <si>
    <t xml:space="preserve">Drugie domykanie</t>
  </si>
  <si>
    <t xml:space="preserve">Account review - kto musi się jeszcze zarejestrować</t>
  </si>
  <si>
    <t xml:space="preserve">Personalizacja: 'kto z Twoich klientów już potwierdził'</t>
  </si>
  <si>
    <t xml:space="preserve">10.08-16.08</t>
  </si>
  <si>
    <t xml:space="preserve">Logistyka stoisk</t>
  </si>
  <si>
    <t xml:space="preserve">Final list eventowi - kto jeszcze może dołączyć</t>
  </si>
  <si>
    <t xml:space="preserve">Mailing do non-responders z lojalnym pitchem</t>
  </si>
  <si>
    <t xml:space="preserve">17.08-23.08</t>
  </si>
  <si>
    <t xml:space="preserve">Ostatnie 5 tygodni</t>
  </si>
  <si>
    <t xml:space="preserve">Final closing calls</t>
  </si>
  <si>
    <t xml:space="preserve">Lista dziennych potwierdzeń w mailach</t>
  </si>
  <si>
    <t xml:space="preserve">24.08-30.08</t>
  </si>
  <si>
    <t xml:space="preserve">Mapa stoisk</t>
  </si>
  <si>
    <t xml:space="preserve">Domykanie ostatnich premium</t>
  </si>
  <si>
    <t xml:space="preserve">Update mapa stoisk - Twoja pozycja</t>
  </si>
  <si>
    <t xml:space="preserve">31.08-06.09</t>
  </si>
  <si>
    <t xml:space="preserve">Final push (4 tygodnie)</t>
  </si>
  <si>
    <t xml:space="preserve">Extreme calls - pełen lejek</t>
  </si>
  <si>
    <t xml:space="preserve">Mailing 'tylko 8 stoisk wolnych'</t>
  </si>
  <si>
    <t xml:space="preserve">Last cold mail wave</t>
  </si>
  <si>
    <t xml:space="preserve">07.09-13.09</t>
  </si>
  <si>
    <t xml:space="preserve">Pre-event (3 tygodnie)</t>
  </si>
  <si>
    <t xml:space="preserve">Logistyka wystawców - confirmed list</t>
  </si>
  <si>
    <t xml:space="preserve">Welcome pack mail</t>
  </si>
  <si>
    <t xml:space="preserve">Druk welcome packs (200€)</t>
  </si>
  <si>
    <t xml:space="preserve">14.09-20.09</t>
  </si>
  <si>
    <t xml:space="preserve">Tydzień przed eventem</t>
  </si>
  <si>
    <t xml:space="preserve">Daily check-in</t>
  </si>
  <si>
    <t xml:space="preserve">Final logistyka - parking, dostawy</t>
  </si>
  <si>
    <t xml:space="preserve">21.09-24.09</t>
  </si>
  <si>
    <t xml:space="preserve">EVENT</t>
  </si>
  <si>
    <t xml:space="preserve">Obsługa eventu</t>
  </si>
  <si>
    <t xml:space="preserve">ZASOBY · BUDŻET · ROLE I NARZĘDZIA</t>
  </si>
  <si>
    <t xml:space="preserve">ZASPÓŁ</t>
  </si>
  <si>
    <t xml:space="preserve">Rola</t>
  </si>
  <si>
    <t xml:space="preserve">Osoba/Tool</t>
  </si>
  <si>
    <t xml:space="preserve">Zakres odpowiedzialności</t>
  </si>
  <si>
    <t xml:space="preserve">Czas/tydzień</t>
  </si>
  <si>
    <t xml:space="preserve">Sales lead</t>
  </si>
  <si>
    <t xml:space="preserve">Arthur (solo)</t>
  </si>
  <si>
    <t xml:space="preserve">Closing calls, sponsor pitch, account-based outreach</t>
  </si>
  <si>
    <t xml:space="preserve">20h</t>
  </si>
  <si>
    <t xml:space="preserve">Funnel ownership</t>
  </si>
  <si>
    <t xml:space="preserve">Marketing/automatyzacja</t>
  </si>
  <si>
    <t xml:space="preserve">AI: Claude + Cowork</t>
  </si>
  <si>
    <t xml:space="preserve">Sekwencje mailowe, listy ICP, draft propozycji</t>
  </si>
  <si>
    <t xml:space="preserve">Zero kosztu osobowego</t>
  </si>
  <si>
    <t xml:space="preserve">Copy/treści</t>
  </si>
  <si>
    <t xml:space="preserve">AI: ChatGPT + Claude</t>
  </si>
  <si>
    <t xml:space="preserve">Posty LinkedIn, mailingi, scripty rozmów</t>
  </si>
  <si>
    <t xml:space="preserve">CRM ops</t>
  </si>
  <si>
    <t xml:space="preserve">Livespace + Arthur</t>
  </si>
  <si>
    <t xml:space="preserve">Aktualizacja lejka, raporty tygodniowe</t>
  </si>
  <si>
    <t xml:space="preserve">2h</t>
  </si>
  <si>
    <t xml:space="preserve">Tablica Kanban widok 6</t>
  </si>
  <si>
    <t xml:space="preserve">Reklama</t>
  </si>
  <si>
    <t xml:space="preserve">Google Ads + LinkedIn Ads</t>
  </si>
  <si>
    <t xml:space="preserve">Stands campaign (zaplanowana), retargeting</t>
  </si>
  <si>
    <t xml:space="preserve">1h</t>
  </si>
  <si>
    <t xml:space="preserve">Plan w docx Plan_kampanii_Wystawcy_FM2026</t>
  </si>
  <si>
    <t xml:space="preserve">BUDŻET KAMPANII STOISK (S1-S22)</t>
  </si>
  <si>
    <t xml:space="preserve">Pozycja</t>
  </si>
  <si>
    <t xml:space="preserve">Kwota (EUR)</t>
  </si>
  <si>
    <t xml:space="preserve">% budżetu</t>
  </si>
  <si>
    <t xml:space="preserve">Płatność</t>
  </si>
  <si>
    <t xml:space="preserve">Google Ads - Search Stands PL</t>
  </si>
  <si>
    <t xml:space="preserve">250 zł/mc (~58€) × 5 mc</t>
  </si>
  <si>
    <t xml:space="preserve">Mc 1-5 kampanii</t>
  </si>
  <si>
    <t xml:space="preserve">Google Ads - Search Stands EN</t>
  </si>
  <si>
    <t xml:space="preserve">200 zł/mc (~46€) × 5 mc</t>
  </si>
  <si>
    <t xml:space="preserve">Google Ads - Brand Stands</t>
  </si>
  <si>
    <t xml:space="preserve">100 zł/mc (~23€) × 5 mc</t>
  </si>
  <si>
    <t xml:space="preserve">Ciągle</t>
  </si>
  <si>
    <t xml:space="preserve">Google Ads - Display RM Stands</t>
  </si>
  <si>
    <t xml:space="preserve">50 zł/mc (~12€) × 5 mc</t>
  </si>
  <si>
    <t xml:space="preserve">Od S3</t>
  </si>
  <si>
    <t xml:space="preserve">LinkedIn Ads - Stands EN</t>
  </si>
  <si>
    <t xml:space="preserve">Konwersje na /exhibitors</t>
  </si>
  <si>
    <t xml:space="preserve">S3-S13</t>
  </si>
  <si>
    <t xml:space="preserve">E-mail tool (Mailerlite)</t>
  </si>
  <si>
    <t xml:space="preserve">Wysyłki do bazy 6k + 1491 cold</t>
  </si>
  <si>
    <t xml:space="preserve">Co miesiąc</t>
  </si>
  <si>
    <t xml:space="preserve">Tłumaczenia EN</t>
  </si>
  <si>
    <t xml:space="preserve">Maile + propozycje EN</t>
  </si>
  <si>
    <t xml:space="preserve">S3-S5</t>
  </si>
  <si>
    <t xml:space="preserve">Welcome packs wystawców (druk)</t>
  </si>
  <si>
    <t xml:space="preserve">Materiały dla 60 wystawców</t>
  </si>
  <si>
    <t xml:space="preserve">Rezerwa (10%)</t>
  </si>
  <si>
    <t xml:space="preserve">Buffer</t>
  </si>
  <si>
    <t xml:space="preserve">ROI MODEL</t>
  </si>
  <si>
    <t xml:space="preserve">Cel przychodu stoisk (EUR)</t>
  </si>
  <si>
    <t xml:space="preserve">60 stoisk × ~1583€ avg</t>
  </si>
  <si>
    <t xml:space="preserve">Budżet kampanii (EUR)</t>
  </si>
  <si>
    <t xml:space="preserve">ROAS (Return on Ad Spend)</t>
  </si>
  <si>
    <t xml:space="preserve">CAC (Customer Acquisition Cost)</t>
  </si>
  <si>
    <t xml:space="preserve">PRZEGLĄD HISTORYCZNY · 5 LAT FRESH MARKET (2022-2026)</t>
  </si>
  <si>
    <t xml:space="preserve">PROCESY SPRZEDAŻOWE PER ROK</t>
  </si>
  <si>
    <t xml:space="preserve">Rok edycji</t>
  </si>
  <si>
    <t xml:space="preserve">Proces w Livespace</t>
  </si>
  <si>
    <t xml:space="preserve">ID procesu</t>
  </si>
  <si>
    <t xml:space="preserve">Liczba deali</t>
  </si>
  <si>
    <t xml:space="preserve">Status</t>
  </si>
  <si>
    <t xml:space="preserve">FM2022</t>
  </si>
  <si>
    <t xml:space="preserve">STOISKA FRESH MARKET 2022 kopia</t>
  </si>
  <si>
    <t xml:space="preserve">Pusty (szablon)</t>
  </si>
  <si>
    <t xml:space="preserve">Stoiska FM2022 nie były wprowadzane do tego procesu - dane prawd. w Excel/Sheets</t>
  </si>
  <si>
    <t xml:space="preserve">FM2023</t>
  </si>
  <si>
    <t xml:space="preserve">Fresh Market 2023</t>
  </si>
  <si>
    <t xml:space="preserve">Zamknięty</t>
  </si>
  <si>
    <t xml:space="preserve">Sprzedaż prowadził Jakub Gołdy. 160 deali (mix wystawcy/buyerzy/sponsorzy)</t>
  </si>
  <si>
    <t xml:space="preserve">FM2023 (alt)</t>
  </si>
  <si>
    <t xml:space="preserve">FRESH MARKET 2023 MICHALINA</t>
  </si>
  <si>
    <t xml:space="preserve">?</t>
  </si>
  <si>
    <t xml:space="preserve">Drugi proces na FM2023 - prowadzony przez Michalinę</t>
  </si>
  <si>
    <t xml:space="preserve">FM2024</t>
  </si>
  <si>
    <t xml:space="preserve">2024 FRESH MARKET</t>
  </si>
  <si>
    <t xml:space="preserve">Sprzedaż prowadził Jakub Gołdy. Prawie wszystkie Przegrane</t>
  </si>
  <si>
    <t xml:space="preserve">FM2025</t>
  </si>
  <si>
    <t xml:space="preserve">2025 FRESH MARKET</t>
  </si>
  <si>
    <t xml:space="preserve">Sprzedaż prowadziła Jagoda Knadel (już usunięta). Tag #visitors2025</t>
  </si>
  <si>
    <t xml:space="preserve">FM2026</t>
  </si>
  <si>
    <t xml:space="preserve">Fresh Market 2026</t>
  </si>
  <si>
    <t xml:space="preserve">AKTYWNY</t>
  </si>
  <si>
    <t xml:space="preserve">Lejek 39 Zaproszenie + 44 Decyzje + 0 Finalizacja</t>
  </si>
  <si>
    <t xml:space="preserve">Buyer FM25</t>
  </si>
  <si>
    <t xml:space="preserve">FM25 Kupcy zaproszenie</t>
  </si>
  <si>
    <t xml:space="preserve">Osobny proces dla buyerów FM25 (sieci handlowe)</t>
  </si>
  <si>
    <t xml:space="preserve">Buyer FM26</t>
  </si>
  <si>
    <t xml:space="preserve">FM26 Kupcy zaproszenie</t>
  </si>
  <si>
    <t xml:space="preserve">Osobny proces dla buyerów FM26</t>
  </si>
  <si>
    <t xml:space="preserve">TOP FIRMY 'BLISKO ZAKUPU' Z OSTATNICH LAT (wg liczby notatek = intensywności korespondencji)</t>
  </si>
  <si>
    <t xml:space="preserve">Notatka = wpis korespondencji/akcji w Livespace. Wysokie liczby (&gt;=8) = poważne negocjacje, które się rozeszły. Wszystkie poniżej to firmy do priorytetowej re-aktywacji.</t>
  </si>
  <si>
    <t xml:space="preserve">Rok kontaktu</t>
  </si>
  <si>
    <t xml:space="preserve">Notatki (korespondencja)</t>
  </si>
  <si>
    <t xml:space="preserve">Status w FM2026</t>
  </si>
  <si>
    <t xml:space="preserve">Probability FM26</t>
  </si>
  <si>
    <t xml:space="preserve">Akcja</t>
  </si>
  <si>
    <t xml:space="preserve">Closing call - 19 notatek = ekstrema! Już negocjuje FM26.</t>
  </si>
  <si>
    <t xml:space="preserve">Re-aktywacja - duże spadek prob., ale duża historia.</t>
  </si>
  <si>
    <t xml:space="preserve">Halls International Ltd. (UK)</t>
  </si>
  <si>
    <t xml:space="preserve">Brak</t>
  </si>
  <si>
    <t xml:space="preserve">RE-AKTYWUJ - 14 notatek, brak w FM2026 lejku!</t>
  </si>
  <si>
    <t xml:space="preserve">Damian Świąder (PHU)</t>
  </si>
  <si>
    <t xml:space="preserve">RE-AKTYWUJ - 14 notatek, polski hurtownik.</t>
  </si>
  <si>
    <t xml:space="preserve">ANCI SAS (Borowiec)</t>
  </si>
  <si>
    <t xml:space="preserve">RE-AKTYWUJ - włoski producent, 13 notatek.</t>
  </si>
  <si>
    <t xml:space="preserve">FM2025/FM2024</t>
  </si>
  <si>
    <t xml:space="preserve">Decyzje + Zaproszenie</t>
  </si>
  <si>
    <t xml:space="preserve">Już aktywny - 2 deale otwarte. Konsoliduj.</t>
  </si>
  <si>
    <t xml:space="preserve">G.P.O.i W. Polfarm</t>
  </si>
  <si>
    <t xml:space="preserve">Closing call - aktywny w FM26.</t>
  </si>
  <si>
    <t xml:space="preserve">Gospodarstwo Jacek Ostrowit</t>
  </si>
  <si>
    <t xml:space="preserve">RE-AKTYWUJ - polski producent.</t>
  </si>
  <si>
    <t xml:space="preserve">SAFTA (Roger Boons)</t>
  </si>
  <si>
    <t xml:space="preserve">RE-AKTYWUJ - Hiszpania/międzynarodowy.</t>
  </si>
  <si>
    <t xml:space="preserve">Aktywny - push to Decyzje.</t>
  </si>
  <si>
    <t xml:space="preserve">Famag E.M.Krzyżaniak</t>
  </si>
  <si>
    <t xml:space="preserve">FM2024+FM2023</t>
  </si>
  <si>
    <t xml:space="preserve">RE-AKTYWUJ - 10+6 notatek przez 2 lata.</t>
  </si>
  <si>
    <t xml:space="preserve">Citronex I (Karolczak)</t>
  </si>
  <si>
    <t xml:space="preserve">RE-AKTYWUJ - 10+6 notatek, kluczowy importer.</t>
  </si>
  <si>
    <t xml:space="preserve">Closing call - aktywny.</t>
  </si>
  <si>
    <t xml:space="preserve">Fresh Quality (Szymańska)</t>
  </si>
  <si>
    <t xml:space="preserve">Push to Decyzje - aktywny.</t>
  </si>
  <si>
    <t xml:space="preserve">FRESH RETAIL PACKING</t>
  </si>
  <si>
    <t xml:space="preserve">Zaproszenie + Decyzje</t>
  </si>
  <si>
    <t xml:space="preserve">2 deale otwarte - konsoliduj.</t>
  </si>
  <si>
    <t xml:space="preserve">HAZERA Poland</t>
  </si>
  <si>
    <t xml:space="preserve">CLOSING NOW - 56% prob (HOT).</t>
  </si>
  <si>
    <t xml:space="preserve">Syngenta Polska</t>
  </si>
  <si>
    <t xml:space="preserve">RE-AKTYWUJ - duża agro-firma, 11 notatek.</t>
  </si>
  <si>
    <t xml:space="preserve">APEX (Sroczyńska)</t>
  </si>
  <si>
    <t xml:space="preserve">Decyzje (jako AGJ)</t>
  </si>
  <si>
    <t xml:space="preserve">Aktywny - inne nazwisko (Krajniak Michalak Sroczyński).</t>
  </si>
  <si>
    <t xml:space="preserve">dulcinealamancha (Garcia)</t>
  </si>
  <si>
    <t xml:space="preserve">RE-AKTYWUJ - hiszpański producent.</t>
  </si>
  <si>
    <t xml:space="preserve">Schur Star Systems GmbH</t>
  </si>
  <si>
    <t xml:space="preserve">FM2025+FM2024</t>
  </si>
  <si>
    <t xml:space="preserve">RE-AKTYWUJ - 11+9 notatek przez 2 lata, opakowania DE.</t>
  </si>
  <si>
    <t xml:space="preserve">RedPlant (Sosiński)</t>
  </si>
  <si>
    <t xml:space="preserve">Push to Decyzje - świeżo wprowadzony FM26.</t>
  </si>
  <si>
    <t xml:space="preserve">Agronom Berries (Smarz)</t>
  </si>
  <si>
    <t xml:space="preserve">RE-AKTYWUJ - jagody/owoce miękkie.</t>
  </si>
  <si>
    <t xml:space="preserve">CLOSING NOW (HOT).</t>
  </si>
  <si>
    <t xml:space="preserve">KOMAR GROUP</t>
  </si>
  <si>
    <t xml:space="preserve">Berry Trade (Stefaniak)</t>
  </si>
  <si>
    <t xml:space="preserve">RE-AKTYWUJ - jagody.</t>
  </si>
  <si>
    <t xml:space="preserve">Mace Fruit (Vignoli)</t>
  </si>
  <si>
    <t xml:space="preserve">RE-AKTYWUJ - włoski.</t>
  </si>
  <si>
    <t xml:space="preserve">Aktywny - push do Decyzje.</t>
  </si>
  <si>
    <t xml:space="preserve">PHU Puch Wojciech Pietroń</t>
  </si>
  <si>
    <t xml:space="preserve">RE-AKTYWUJ.</t>
  </si>
  <si>
    <t xml:space="preserve">Llombart Producer Group</t>
  </si>
  <si>
    <t xml:space="preserve">RE-AKTYWUJ - hiszpański.</t>
  </si>
  <si>
    <t xml:space="preserve">Enza Zaden Poland</t>
  </si>
  <si>
    <t xml:space="preserve">Zaproszenie (33%, 2600 EUR)</t>
  </si>
  <si>
    <t xml:space="preserve">Aktywny - to jedyny deal z wartością!</t>
  </si>
  <si>
    <t xml:space="preserve">Euro Pool System Poland</t>
  </si>
  <si>
    <t xml:space="preserve">FM2023+FM2024</t>
  </si>
  <si>
    <t xml:space="preserve">2 deale aktywne - konsoliduj.</t>
  </si>
  <si>
    <t xml:space="preserve">Grupa Producentów Agros</t>
  </si>
  <si>
    <t xml:space="preserve">FM2025+FM2023</t>
  </si>
  <si>
    <t xml:space="preserve">RE-AKTYWUJ - 10+7 notatek przez 2 lata, polska grupa producencka.</t>
  </si>
  <si>
    <t xml:space="preserve">Aktywny.</t>
  </si>
  <si>
    <t xml:space="preserve">Alanar (Erkul)</t>
  </si>
  <si>
    <t xml:space="preserve">RE-AKTYWUJ - Turcja, owoce.</t>
  </si>
  <si>
    <t xml:space="preserve">Fruland Sp. z o.o.</t>
  </si>
  <si>
    <t xml:space="preserve">RE-AKTYWUJ - polski.</t>
  </si>
  <si>
    <t xml:space="preserve">AZURA</t>
  </si>
  <si>
    <t xml:space="preserve">RE-AKTYWUJ - Maroko/międzynarodowy gigant.</t>
  </si>
  <si>
    <t xml:space="preserve">KLUCZOWE WNIOSKI Z 5 LAT</t>
  </si>
  <si>
    <t xml:space="preserve">1. 36 firm 'blisko zakupu' (&gt;=6 notatek korespondencji w 1 roku) - z czego 14 NIE MA OBECNEJ aktywnej szansy w FM2026 lejku → bezpośrednia akcja: dodać do FM2026 i kontaktować w S1-S2</t>
  </si>
  <si>
    <t xml:space="preserve">2. 22 firmy z historią są już w lejku FM2026 - intensyfikacja kontaktu (closing dla Decyzje &gt;25%, push to Decyzje dla Zaproszenie)</t>
  </si>
  <si>
    <t xml:space="preserve">3. Top kandydaci do PILNEJ re-aktywacji (brak FM2026, wysoka korespondencja): Halls Intl, Damian Świąder, ANCI SAS, Famag, Citronex, Schur Star (DE), Mace Fruit (IT), Llombart (ES), Grupa Producentów Agros, Syngenta, Halls Intl (UK), AZURA (MA), Fruland</t>
  </si>
  <si>
    <t xml:space="preserve">4. Sprzedażowcy historyczni: FM2023+FM2024 = Jakub Gołdy, FM2025 = Jagoda Knadel (usunięta). FM2026 = Arthur + Oksana - INNY zespół. Brak ciągłości relacji = ważne, by przy wznawianiu kontaktu odwołać się do historii ('w 2024 rozmawialiśmy z Tobą o stoisku')</t>
  </si>
  <si>
    <t xml:space="preserve">5. STOISKA jako osobny proces sprzedaży nigdy nie były tracking-owane - wszystkie deale stoiska szły razem z buyer-invitation w FM2024/FM2025 - brak rozróżnienia. Cel: w FM2026 prowadzić STOISKA jako odrębny proces (np. zaktualizować szablon STOISKA FRESH MARKET 2022 kopia → FM26)</t>
  </si>
  <si>
    <t xml:space="preserve">6. Wysokie wykonanie: 36 firm = 60% celu 60 stoisk. Poprzeczka jest realna jeśli obsłużymy te leady systematycznie.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</si>
</sst>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%"/>
    <numFmt numFmtId="167" formatCode="0.0\x"/>
    <numFmt numFmtId="168" formatCode="#,##0&quot; €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05496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305496"/>
        <bgColor rgb="FF595959"/>
      </patternFill>
    </fill>
    <fill>
      <patternFill patternType="solid">
        <fgColor rgb="FFFFE699"/>
        <bgColor rgb="FFF8CBAD"/>
      </patternFill>
    </fill>
    <fill>
      <patternFill patternType="solid">
        <fgColor rgb="FFC6EFCE"/>
        <bgColor rgb="FFD9E1F2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0"/>
    <col collapsed="false" customWidth="true" hidden="false" outlineLevel="0" max="5" min="3" style="1" width="14"/>
    <col collapsed="false" customWidth="true" hidden="false" outlineLevel="0" max="6" min="6" style="1" width="38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/>
      <c r="F5" s="5"/>
    </row>
    <row r="6" customFormat="false" ht="15" hidden="false" customHeight="true" outlineLevel="0" collapsed="false">
      <c r="A6" s="6" t="s">
        <v>7</v>
      </c>
      <c r="B6" s="7" t="n">
        <v>83</v>
      </c>
      <c r="C6" s="6" t="s">
        <v>8</v>
      </c>
      <c r="D6" s="6" t="s">
        <v>9</v>
      </c>
      <c r="E6" s="6"/>
      <c r="F6" s="6"/>
    </row>
    <row r="7" customFormat="false" ht="15" hidden="false" customHeight="true" outlineLevel="0" collapsed="false">
      <c r="A7" s="6" t="s">
        <v>10</v>
      </c>
      <c r="B7" s="7" t="n">
        <v>127</v>
      </c>
      <c r="C7" s="6" t="s">
        <v>11</v>
      </c>
      <c r="D7" s="6" t="s">
        <v>12</v>
      </c>
      <c r="E7" s="6"/>
      <c r="F7" s="6"/>
    </row>
    <row r="8" customFormat="false" ht="15" hidden="false" customHeight="true" outlineLevel="0" collapsed="false">
      <c r="A8" s="6" t="s">
        <v>13</v>
      </c>
      <c r="B8" s="7" t="n">
        <v>10826</v>
      </c>
      <c r="C8" s="6" t="s">
        <v>11</v>
      </c>
      <c r="D8" s="6" t="s">
        <v>14</v>
      </c>
      <c r="E8" s="6"/>
      <c r="F8" s="6"/>
    </row>
    <row r="9" customFormat="false" ht="15" hidden="false" customHeight="true" outlineLevel="0" collapsed="false">
      <c r="A9" s="6" t="s">
        <v>15</v>
      </c>
      <c r="B9" s="7" t="n">
        <v>202</v>
      </c>
      <c r="C9" s="6" t="s">
        <v>11</v>
      </c>
      <c r="D9" s="6" t="s">
        <v>16</v>
      </c>
      <c r="E9" s="6"/>
      <c r="F9" s="6"/>
    </row>
    <row r="10" customFormat="false" ht="15" hidden="false" customHeight="true" outlineLevel="0" collapsed="false">
      <c r="A10" s="6" t="s">
        <v>17</v>
      </c>
      <c r="B10" s="7" t="n">
        <v>68</v>
      </c>
      <c r="C10" s="6" t="s">
        <v>11</v>
      </c>
      <c r="D10" s="6" t="s">
        <v>18</v>
      </c>
      <c r="E10" s="6"/>
      <c r="F10" s="6"/>
    </row>
    <row r="11" customFormat="false" ht="15" hidden="false" customHeight="true" outlineLevel="0" collapsed="false">
      <c r="A11" s="6" t="s">
        <v>19</v>
      </c>
      <c r="B11" s="7" t="n">
        <v>176</v>
      </c>
      <c r="C11" s="6" t="s">
        <v>11</v>
      </c>
      <c r="D11" s="6" t="s">
        <v>20</v>
      </c>
      <c r="E11" s="6"/>
      <c r="F11" s="6"/>
    </row>
    <row r="12" customFormat="false" ht="15" hidden="false" customHeight="true" outlineLevel="0" collapsed="false">
      <c r="A12" s="6" t="s">
        <v>21</v>
      </c>
      <c r="B12" s="7" t="n">
        <v>48</v>
      </c>
      <c r="C12" s="6" t="s">
        <v>11</v>
      </c>
      <c r="D12" s="6" t="s">
        <v>22</v>
      </c>
      <c r="E12" s="6"/>
      <c r="F12" s="6"/>
    </row>
    <row r="13" customFormat="false" ht="15" hidden="false" customHeight="true" outlineLevel="0" collapsed="false">
      <c r="A13" s="6" t="s">
        <v>23</v>
      </c>
      <c r="B13" s="7" t="n">
        <v>1491</v>
      </c>
      <c r="C13" s="6" t="s">
        <v>24</v>
      </c>
      <c r="D13" s="6" t="s">
        <v>25</v>
      </c>
      <c r="E13" s="6"/>
      <c r="F13" s="6"/>
    </row>
    <row r="14" customFormat="false" ht="15" hidden="false" customHeight="true" outlineLevel="0" collapsed="false">
      <c r="A14" s="6" t="s">
        <v>26</v>
      </c>
      <c r="B14" s="7" t="n">
        <v>200</v>
      </c>
      <c r="C14" s="6" t="s">
        <v>11</v>
      </c>
      <c r="D14" s="6" t="s">
        <v>27</v>
      </c>
      <c r="E14" s="6"/>
      <c r="F14" s="6"/>
    </row>
    <row r="16" customFormat="false" ht="15" hidden="false" customHeight="true" outlineLevel="0" collapsed="false">
      <c r="A16" s="4" t="s">
        <v>28</v>
      </c>
      <c r="B16" s="4"/>
      <c r="C16" s="4"/>
      <c r="D16" s="4"/>
      <c r="E16" s="4"/>
      <c r="F16" s="4"/>
    </row>
    <row r="17" customFormat="false" ht="15" hidden="false" customHeight="true" outlineLevel="0" collapsed="false">
      <c r="A17" s="8" t="s">
        <v>29</v>
      </c>
      <c r="B17" s="8" t="s">
        <v>30</v>
      </c>
      <c r="C17" s="8" t="s">
        <v>31</v>
      </c>
      <c r="D17" s="8" t="s">
        <v>32</v>
      </c>
      <c r="E17" s="8" t="s">
        <v>33</v>
      </c>
      <c r="F17" s="8" t="s">
        <v>6</v>
      </c>
    </row>
    <row r="18" customFormat="false" ht="15" hidden="false" customHeight="true" outlineLevel="0" collapsed="false">
      <c r="A18" s="6" t="s">
        <v>34</v>
      </c>
      <c r="B18" s="6" t="s">
        <v>35</v>
      </c>
      <c r="C18" s="9" t="n">
        <v>60</v>
      </c>
      <c r="D18" s="9" t="n">
        <v>0</v>
      </c>
      <c r="E18" s="7" t="n">
        <f aca="false">C18-D18</f>
        <v>60</v>
      </c>
      <c r="F18" s="6" t="s">
        <v>36</v>
      </c>
    </row>
    <row r="19" customFormat="false" ht="15" hidden="false" customHeight="true" outlineLevel="0" collapsed="false">
      <c r="A19" s="6" t="s">
        <v>37</v>
      </c>
      <c r="B19" s="6" t="s">
        <v>38</v>
      </c>
      <c r="C19" s="9" t="n">
        <v>25</v>
      </c>
      <c r="D19" s="9" t="n">
        <v>0</v>
      </c>
      <c r="E19" s="7" t="n">
        <f aca="false">C19-D19</f>
        <v>25</v>
      </c>
      <c r="F19" s="6" t="s">
        <v>39</v>
      </c>
    </row>
    <row r="20" customFormat="false" ht="15" hidden="false" customHeight="true" outlineLevel="0" collapsed="false">
      <c r="A20" s="6" t="s">
        <v>40</v>
      </c>
      <c r="B20" s="6" t="s">
        <v>41</v>
      </c>
      <c r="C20" s="9" t="n">
        <v>35</v>
      </c>
      <c r="D20" s="9" t="n">
        <v>0</v>
      </c>
      <c r="E20" s="7" t="n">
        <f aca="false">C20-D20</f>
        <v>35</v>
      </c>
      <c r="F20" s="6" t="s">
        <v>42</v>
      </c>
    </row>
    <row r="21" customFormat="false" ht="15" hidden="false" customHeight="true" outlineLevel="0" collapsed="false">
      <c r="A21" s="6" t="s">
        <v>43</v>
      </c>
      <c r="B21" s="6" t="s">
        <v>44</v>
      </c>
      <c r="C21" s="9" t="n">
        <v>95000</v>
      </c>
      <c r="D21" s="9" t="n">
        <v>0</v>
      </c>
      <c r="E21" s="7" t="n">
        <f aca="false">C21-D21</f>
        <v>95000</v>
      </c>
      <c r="F21" s="6" t="s">
        <v>45</v>
      </c>
    </row>
    <row r="22" customFormat="false" ht="15" hidden="false" customHeight="true" outlineLevel="0" collapsed="false">
      <c r="A22" s="6" t="s">
        <v>46</v>
      </c>
      <c r="B22" s="6" t="s">
        <v>47</v>
      </c>
      <c r="C22" s="9" t="n">
        <v>30</v>
      </c>
      <c r="D22" s="9" t="n">
        <v>0</v>
      </c>
      <c r="E22" s="7" t="n">
        <f aca="false">C22-D22</f>
        <v>30</v>
      </c>
      <c r="F22" s="6" t="s">
        <v>48</v>
      </c>
    </row>
    <row r="23" customFormat="false" ht="15" hidden="false" customHeight="true" outlineLevel="0" collapsed="false">
      <c r="A23" s="6" t="s">
        <v>49</v>
      </c>
      <c r="B23" s="6" t="s">
        <v>50</v>
      </c>
      <c r="C23" s="9" t="n">
        <v>20</v>
      </c>
      <c r="D23" s="9" t="n">
        <v>0</v>
      </c>
      <c r="E23" s="7" t="n">
        <f aca="false">C23-D23</f>
        <v>20</v>
      </c>
      <c r="F23" s="6" t="s">
        <v>51</v>
      </c>
    </row>
    <row r="24" customFormat="false" ht="15" hidden="false" customHeight="true" outlineLevel="0" collapsed="false">
      <c r="A24" s="6" t="s">
        <v>52</v>
      </c>
      <c r="B24" s="6" t="s">
        <v>53</v>
      </c>
      <c r="C24" s="9" t="n">
        <v>25</v>
      </c>
      <c r="D24" s="9" t="n">
        <v>0</v>
      </c>
      <c r="E24" s="7" t="n">
        <f aca="false">C24-D24</f>
        <v>25</v>
      </c>
      <c r="F24" s="6" t="s">
        <v>54</v>
      </c>
    </row>
    <row r="25" customFormat="false" ht="15" hidden="false" customHeight="true" outlineLevel="0" collapsed="false">
      <c r="A25" s="6" t="s">
        <v>55</v>
      </c>
      <c r="B25" s="6" t="s">
        <v>56</v>
      </c>
      <c r="C25" s="9" t="n">
        <v>12</v>
      </c>
      <c r="D25" s="9" t="n">
        <v>0</v>
      </c>
      <c r="E25" s="7" t="n">
        <f aca="false">C25-D25</f>
        <v>12</v>
      </c>
      <c r="F25" s="6" t="s">
        <v>57</v>
      </c>
    </row>
    <row r="26" customFormat="false" ht="15" hidden="false" customHeight="true" outlineLevel="0" collapsed="false">
      <c r="A26" s="6" t="s">
        <v>58</v>
      </c>
      <c r="B26" s="6" t="s">
        <v>59</v>
      </c>
      <c r="C26" s="9" t="n">
        <v>4</v>
      </c>
      <c r="D26" s="9" t="n">
        <v>0</v>
      </c>
      <c r="E26" s="7" t="n">
        <f aca="false">C26-D26</f>
        <v>4</v>
      </c>
      <c r="F26" s="6" t="s">
        <v>60</v>
      </c>
    </row>
  </sheetData>
  <mergeCells count="14">
    <mergeCell ref="A1:F1"/>
    <mergeCell ref="A2:F2"/>
    <mergeCell ref="A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0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7" min="6" style="1" width="28"/>
    <col collapsed="false" customWidth="true" hidden="false" outlineLevel="0" max="8" min="8" style="1" width="50"/>
  </cols>
  <sheetData>
    <row r="1" customFormat="false" ht="19.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0" t="s">
        <v>62</v>
      </c>
      <c r="B3" s="10"/>
      <c r="C3" s="10"/>
      <c r="D3" s="10"/>
      <c r="E3" s="10"/>
      <c r="F3" s="10"/>
      <c r="G3" s="10"/>
      <c r="H3" s="10"/>
    </row>
    <row r="5" customFormat="false" ht="26.25" hidden="false" customHeight="true" outlineLevel="0" collapsed="false">
      <c r="A5" s="8" t="s">
        <v>63</v>
      </c>
      <c r="B5" s="8" t="s">
        <v>64</v>
      </c>
      <c r="C5" s="8" t="s">
        <v>65</v>
      </c>
      <c r="D5" s="8" t="s">
        <v>66</v>
      </c>
      <c r="E5" s="8" t="s">
        <v>67</v>
      </c>
      <c r="F5" s="8" t="s">
        <v>68</v>
      </c>
      <c r="G5" s="8" t="s">
        <v>69</v>
      </c>
      <c r="H5" s="8" t="s">
        <v>70</v>
      </c>
    </row>
    <row r="6" customFormat="false" ht="60" hidden="false" customHeight="true" outlineLevel="0" collapsed="false">
      <c r="A6" s="11" t="s">
        <v>71</v>
      </c>
      <c r="B6" s="11" t="s">
        <v>72</v>
      </c>
      <c r="C6" s="12" t="s">
        <v>73</v>
      </c>
      <c r="D6" s="11" t="n">
        <v>10826</v>
      </c>
      <c r="E6" s="13" t="n">
        <v>25</v>
      </c>
      <c r="F6" s="11" t="s">
        <v>74</v>
      </c>
      <c r="G6" s="11" t="s">
        <v>75</v>
      </c>
      <c r="H6" s="11" t="s">
        <v>76</v>
      </c>
    </row>
    <row r="7" customFormat="false" ht="60" hidden="false" customHeight="true" outlineLevel="0" collapsed="false">
      <c r="A7" s="11" t="s">
        <v>77</v>
      </c>
      <c r="B7" s="11" t="s">
        <v>78</v>
      </c>
      <c r="C7" s="14" t="s">
        <v>79</v>
      </c>
      <c r="D7" s="11" t="n">
        <v>127</v>
      </c>
      <c r="E7" s="13" t="n">
        <v>25</v>
      </c>
      <c r="F7" s="11" t="s">
        <v>80</v>
      </c>
      <c r="G7" s="11" t="s">
        <v>81</v>
      </c>
      <c r="H7" s="11" t="s">
        <v>82</v>
      </c>
    </row>
    <row r="8" customFormat="false" ht="60" hidden="false" customHeight="true" outlineLevel="0" collapsed="false">
      <c r="A8" s="11" t="s">
        <v>83</v>
      </c>
      <c r="B8" s="11" t="s">
        <v>84</v>
      </c>
      <c r="C8" s="14" t="s">
        <v>79</v>
      </c>
      <c r="D8" s="11" t="n">
        <v>44</v>
      </c>
      <c r="E8" s="13" t="n">
        <v>18</v>
      </c>
      <c r="F8" s="11" t="s">
        <v>85</v>
      </c>
      <c r="G8" s="11" t="s">
        <v>86</v>
      </c>
      <c r="H8" s="11" t="s">
        <v>87</v>
      </c>
    </row>
    <row r="9" customFormat="false" ht="60" hidden="false" customHeight="true" outlineLevel="0" collapsed="false">
      <c r="A9" s="11" t="s">
        <v>88</v>
      </c>
      <c r="B9" s="11" t="s">
        <v>89</v>
      </c>
      <c r="C9" s="12" t="s">
        <v>73</v>
      </c>
      <c r="D9" s="11" t="n">
        <v>39</v>
      </c>
      <c r="E9" s="13" t="n">
        <v>8</v>
      </c>
      <c r="F9" s="11" t="s">
        <v>90</v>
      </c>
      <c r="G9" s="11" t="s">
        <v>91</v>
      </c>
      <c r="H9" s="11" t="s">
        <v>92</v>
      </c>
    </row>
    <row r="10" customFormat="false" ht="60" hidden="false" customHeight="true" outlineLevel="0" collapsed="false">
      <c r="A10" s="11" t="s">
        <v>93</v>
      </c>
      <c r="B10" s="11" t="s">
        <v>94</v>
      </c>
      <c r="C10" s="12" t="s">
        <v>73</v>
      </c>
      <c r="D10" s="11" t="n">
        <v>68</v>
      </c>
      <c r="E10" s="13" t="n">
        <v>4</v>
      </c>
      <c r="F10" s="11" t="s">
        <v>95</v>
      </c>
      <c r="G10" s="11" t="s">
        <v>96</v>
      </c>
      <c r="H10" s="11" t="s">
        <v>97</v>
      </c>
    </row>
    <row r="11" customFormat="false" ht="60" hidden="false" customHeight="true" outlineLevel="0" collapsed="false">
      <c r="A11" s="11" t="s">
        <v>98</v>
      </c>
      <c r="B11" s="11" t="s">
        <v>99</v>
      </c>
      <c r="C11" s="12" t="s">
        <v>73</v>
      </c>
      <c r="D11" s="11" t="n">
        <v>202</v>
      </c>
      <c r="E11" s="13" t="n">
        <v>6</v>
      </c>
      <c r="F11" s="11" t="s">
        <v>100</v>
      </c>
      <c r="G11" s="11" t="s">
        <v>101</v>
      </c>
      <c r="H11" s="11" t="s">
        <v>102</v>
      </c>
    </row>
    <row r="12" customFormat="false" ht="60" hidden="false" customHeight="true" outlineLevel="0" collapsed="false">
      <c r="A12" s="11" t="s">
        <v>103</v>
      </c>
      <c r="B12" s="11" t="s">
        <v>104</v>
      </c>
      <c r="C12" s="14" t="s">
        <v>79</v>
      </c>
      <c r="D12" s="11" t="n">
        <v>30</v>
      </c>
      <c r="E12" s="13" t="n">
        <v>6</v>
      </c>
      <c r="F12" s="11" t="s">
        <v>105</v>
      </c>
      <c r="G12" s="11" t="s">
        <v>106</v>
      </c>
      <c r="H12" s="11" t="s">
        <v>107</v>
      </c>
    </row>
    <row r="13" customFormat="false" ht="60" hidden="false" customHeight="true" outlineLevel="0" collapsed="false">
      <c r="A13" s="11" t="s">
        <v>108</v>
      </c>
      <c r="B13" s="11" t="s">
        <v>109</v>
      </c>
      <c r="C13" s="12" t="s">
        <v>73</v>
      </c>
      <c r="D13" s="11" t="n">
        <v>43</v>
      </c>
      <c r="E13" s="13" t="n">
        <v>4</v>
      </c>
      <c r="F13" s="11" t="s">
        <v>110</v>
      </c>
      <c r="G13" s="11" t="s">
        <v>111</v>
      </c>
      <c r="H13" s="11" t="s">
        <v>112</v>
      </c>
    </row>
    <row r="14" customFormat="false" ht="60" hidden="false" customHeight="true" outlineLevel="0" collapsed="false">
      <c r="A14" s="11" t="s">
        <v>113</v>
      </c>
      <c r="B14" s="11" t="s">
        <v>114</v>
      </c>
      <c r="C14" s="12" t="s">
        <v>73</v>
      </c>
      <c r="D14" s="11" t="n">
        <v>12</v>
      </c>
      <c r="E14" s="13" t="n">
        <v>4</v>
      </c>
      <c r="F14" s="11" t="s">
        <v>115</v>
      </c>
      <c r="G14" s="11" t="s">
        <v>116</v>
      </c>
      <c r="H14" s="11" t="s">
        <v>117</v>
      </c>
    </row>
    <row r="15" customFormat="false" ht="60" hidden="false" customHeight="true" outlineLevel="0" collapsed="false">
      <c r="A15" s="11" t="s">
        <v>118</v>
      </c>
      <c r="B15" s="11" t="s">
        <v>119</v>
      </c>
      <c r="C15" s="12" t="s">
        <v>73</v>
      </c>
      <c r="D15" s="11" t="n">
        <v>200</v>
      </c>
      <c r="E15" s="13" t="n">
        <v>8</v>
      </c>
      <c r="F15" s="11" t="s">
        <v>120</v>
      </c>
      <c r="G15" s="11" t="s">
        <v>121</v>
      </c>
      <c r="H15" s="11" t="s">
        <v>122</v>
      </c>
    </row>
    <row r="16" customFormat="false" ht="60" hidden="false" customHeight="true" outlineLevel="0" collapsed="false">
      <c r="A16" s="11" t="s">
        <v>123</v>
      </c>
      <c r="B16" s="11" t="s">
        <v>124</v>
      </c>
      <c r="C16" s="15" t="s">
        <v>125</v>
      </c>
      <c r="D16" s="11" t="n">
        <v>1491</v>
      </c>
      <c r="E16" s="13" t="n">
        <v>8</v>
      </c>
      <c r="F16" s="11" t="s">
        <v>126</v>
      </c>
      <c r="G16" s="11" t="s">
        <v>127</v>
      </c>
      <c r="H16" s="11" t="s">
        <v>128</v>
      </c>
    </row>
    <row r="17" customFormat="false" ht="60" hidden="false" customHeight="true" outlineLevel="0" collapsed="false">
      <c r="A17" s="16" t="s">
        <v>129</v>
      </c>
      <c r="B17" s="17"/>
      <c r="C17" s="17"/>
      <c r="D17" s="16" t="n">
        <f aca="false">SUM(D6:D16)</f>
        <v>13082</v>
      </c>
      <c r="E17" s="16" t="n">
        <f aca="false">SUM(E6:E16)</f>
        <v>116</v>
      </c>
      <c r="F17" s="17"/>
      <c r="G17" s="17"/>
      <c r="H17" s="17"/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2"/>
  </cols>
  <sheetData>
    <row r="1" customFormat="false" ht="19.5" hidden="false" customHeight="true" outlineLevel="0" collapsed="false">
      <c r="A1" s="2" t="s">
        <v>130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8" t="s">
        <v>131</v>
      </c>
      <c r="B3" s="18"/>
      <c r="C3" s="18"/>
      <c r="D3" s="18"/>
      <c r="E3" s="18"/>
      <c r="F3" s="18"/>
      <c r="G3" s="19" t="s">
        <v>132</v>
      </c>
    </row>
    <row r="5" customFormat="false" ht="15" hidden="false" customHeight="true" outlineLevel="0" collapsed="false">
      <c r="A5" s="8" t="s">
        <v>133</v>
      </c>
      <c r="B5" s="8" t="s">
        <v>134</v>
      </c>
      <c r="C5" s="8" t="s">
        <v>135</v>
      </c>
      <c r="D5" s="8" t="s">
        <v>136</v>
      </c>
      <c r="E5" s="8" t="s">
        <v>137</v>
      </c>
      <c r="F5" s="8" t="s">
        <v>138</v>
      </c>
    </row>
    <row r="6" customFormat="false" ht="15" hidden="false" customHeight="true" outlineLevel="0" collapsed="false">
      <c r="A6" s="6" t="n">
        <v>16764</v>
      </c>
      <c r="B6" s="6" t="s">
        <v>139</v>
      </c>
      <c r="C6" s="6" t="s">
        <v>140</v>
      </c>
      <c r="D6" s="6" t="n">
        <v>0</v>
      </c>
      <c r="E6" s="20" t="s">
        <v>73</v>
      </c>
      <c r="F6" s="6" t="s">
        <v>141</v>
      </c>
    </row>
    <row r="7" customFormat="false" ht="15" hidden="false" customHeight="true" outlineLevel="0" collapsed="false">
      <c r="A7" s="6" t="n">
        <v>18270</v>
      </c>
      <c r="B7" s="6" t="s">
        <v>142</v>
      </c>
      <c r="C7" s="6" t="s">
        <v>140</v>
      </c>
      <c r="D7" s="6" t="n">
        <v>0</v>
      </c>
      <c r="E7" s="21" t="s">
        <v>79</v>
      </c>
      <c r="F7" s="6" t="s">
        <v>143</v>
      </c>
    </row>
    <row r="8" customFormat="false" ht="15" hidden="false" customHeight="true" outlineLevel="0" collapsed="false">
      <c r="A8" s="6" t="n">
        <v>16757</v>
      </c>
      <c r="B8" s="6" t="s">
        <v>144</v>
      </c>
      <c r="C8" s="6" t="s">
        <v>140</v>
      </c>
      <c r="D8" s="6" t="n">
        <v>0</v>
      </c>
      <c r="E8" s="21" t="s">
        <v>79</v>
      </c>
      <c r="F8" s="6" t="s">
        <v>145</v>
      </c>
    </row>
    <row r="9" customFormat="false" ht="15" hidden="false" customHeight="true" outlineLevel="0" collapsed="false">
      <c r="A9" s="6" t="n">
        <v>16755</v>
      </c>
      <c r="B9" s="6" t="s">
        <v>146</v>
      </c>
      <c r="C9" s="6" t="s">
        <v>140</v>
      </c>
      <c r="D9" s="6" t="n">
        <v>0</v>
      </c>
      <c r="E9" s="20" t="s">
        <v>73</v>
      </c>
      <c r="F9" s="6" t="s">
        <v>147</v>
      </c>
    </row>
    <row r="10" customFormat="false" ht="15" hidden="false" customHeight="true" outlineLevel="0" collapsed="false">
      <c r="A10" s="6" t="n">
        <v>16752</v>
      </c>
      <c r="B10" s="6" t="s">
        <v>148</v>
      </c>
      <c r="C10" s="6" t="s">
        <v>140</v>
      </c>
      <c r="D10" s="6" t="n">
        <v>0</v>
      </c>
      <c r="E10" s="20" t="s">
        <v>73</v>
      </c>
      <c r="F10" s="6" t="s">
        <v>149</v>
      </c>
    </row>
    <row r="11" customFormat="false" ht="15" hidden="false" customHeight="true" outlineLevel="0" collapsed="false">
      <c r="A11" s="6" t="n">
        <v>17181</v>
      </c>
      <c r="B11" s="6" t="s">
        <v>150</v>
      </c>
      <c r="C11" s="6" t="s">
        <v>140</v>
      </c>
      <c r="D11" s="6" t="n">
        <v>0</v>
      </c>
      <c r="E11" s="21" t="s">
        <v>79</v>
      </c>
      <c r="F11" s="6" t="s">
        <v>151</v>
      </c>
    </row>
    <row r="12" customFormat="false" ht="15" hidden="false" customHeight="true" outlineLevel="0" collapsed="false">
      <c r="A12" s="6" t="n">
        <v>16884</v>
      </c>
      <c r="B12" s="6" t="s">
        <v>152</v>
      </c>
      <c r="C12" s="6" t="s">
        <v>140</v>
      </c>
      <c r="D12" s="6" t="n">
        <v>0</v>
      </c>
      <c r="E12" s="20" t="s">
        <v>73</v>
      </c>
      <c r="F12" s="6" t="s">
        <v>153</v>
      </c>
    </row>
    <row r="13" customFormat="false" ht="15" hidden="false" customHeight="true" outlineLevel="0" collapsed="false">
      <c r="A13" s="6" t="n">
        <v>17973</v>
      </c>
      <c r="B13" s="6" t="s">
        <v>154</v>
      </c>
      <c r="C13" s="6" t="s">
        <v>140</v>
      </c>
      <c r="D13" s="6" t="n">
        <v>0</v>
      </c>
      <c r="E13" s="6" t="s">
        <v>155</v>
      </c>
      <c r="F13" s="6" t="s">
        <v>156</v>
      </c>
    </row>
    <row r="14" customFormat="false" ht="15" hidden="false" customHeight="true" outlineLevel="0" collapsed="false">
      <c r="A14" s="6" t="n">
        <v>17148</v>
      </c>
      <c r="B14" s="6" t="s">
        <v>157</v>
      </c>
      <c r="C14" s="6" t="s">
        <v>140</v>
      </c>
      <c r="D14" s="6" t="n">
        <v>11</v>
      </c>
      <c r="E14" s="20" t="s">
        <v>73</v>
      </c>
      <c r="F14" s="6" t="s">
        <v>158</v>
      </c>
    </row>
    <row r="15" customFormat="false" ht="15" hidden="false" customHeight="true" outlineLevel="0" collapsed="false">
      <c r="A15" s="6" t="n">
        <v>17709</v>
      </c>
      <c r="B15" s="6" t="s">
        <v>159</v>
      </c>
      <c r="C15" s="6" t="s">
        <v>140</v>
      </c>
      <c r="D15" s="6" t="n">
        <v>11</v>
      </c>
      <c r="E15" s="20" t="s">
        <v>73</v>
      </c>
      <c r="F15" s="6" t="s">
        <v>160</v>
      </c>
    </row>
    <row r="16" customFormat="false" ht="15" hidden="false" customHeight="true" outlineLevel="0" collapsed="false">
      <c r="A16" s="6" t="n">
        <v>17544</v>
      </c>
      <c r="B16" s="6" t="s">
        <v>161</v>
      </c>
      <c r="C16" s="6" t="s">
        <v>140</v>
      </c>
      <c r="D16" s="20" t="n">
        <v>22</v>
      </c>
      <c r="E16" s="20" t="s">
        <v>73</v>
      </c>
      <c r="F16" s="6" t="s">
        <v>162</v>
      </c>
    </row>
    <row r="17" customFormat="false" ht="15" hidden="false" customHeight="true" outlineLevel="0" collapsed="false">
      <c r="A17" s="6" t="n">
        <v>18204</v>
      </c>
      <c r="B17" s="6" t="s">
        <v>163</v>
      </c>
      <c r="C17" s="6" t="s">
        <v>140</v>
      </c>
      <c r="D17" s="6" t="n">
        <v>11</v>
      </c>
      <c r="E17" s="20" t="s">
        <v>73</v>
      </c>
      <c r="F17" s="6" t="s">
        <v>164</v>
      </c>
    </row>
    <row r="18" customFormat="false" ht="15" hidden="false" customHeight="true" outlineLevel="0" collapsed="false">
      <c r="A18" s="6" t="n">
        <v>17511</v>
      </c>
      <c r="B18" s="6" t="s">
        <v>165</v>
      </c>
      <c r="C18" s="6" t="s">
        <v>140</v>
      </c>
      <c r="D18" s="6" t="n">
        <v>11</v>
      </c>
      <c r="E18" s="20" t="s">
        <v>73</v>
      </c>
      <c r="F18" s="6" t="s">
        <v>166</v>
      </c>
    </row>
    <row r="19" customFormat="false" ht="15" hidden="false" customHeight="true" outlineLevel="0" collapsed="false">
      <c r="A19" s="6" t="n">
        <v>17346</v>
      </c>
      <c r="B19" s="6" t="s">
        <v>167</v>
      </c>
      <c r="C19" s="6" t="s">
        <v>140</v>
      </c>
      <c r="D19" s="20" t="n">
        <v>33</v>
      </c>
      <c r="E19" s="21" t="s">
        <v>79</v>
      </c>
      <c r="F19" s="6" t="s">
        <v>168</v>
      </c>
    </row>
    <row r="20" customFormat="false" ht="15" hidden="false" customHeight="true" outlineLevel="0" collapsed="false">
      <c r="A20" s="6" t="n">
        <v>18435</v>
      </c>
      <c r="B20" s="6" t="s">
        <v>169</v>
      </c>
      <c r="C20" s="6" t="s">
        <v>140</v>
      </c>
      <c r="D20" s="6" t="n">
        <v>11</v>
      </c>
      <c r="E20" s="20" t="s">
        <v>73</v>
      </c>
      <c r="F20" s="6" t="s">
        <v>170</v>
      </c>
    </row>
    <row r="21" customFormat="false" ht="15" hidden="false" customHeight="true" outlineLevel="0" collapsed="false">
      <c r="A21" s="6" t="n">
        <v>17445</v>
      </c>
      <c r="B21" s="6" t="s">
        <v>171</v>
      </c>
      <c r="C21" s="6" t="s">
        <v>140</v>
      </c>
      <c r="D21" s="6" t="n">
        <v>11</v>
      </c>
      <c r="E21" s="20" t="s">
        <v>73</v>
      </c>
      <c r="F21" s="6" t="s">
        <v>172</v>
      </c>
    </row>
    <row r="22" customFormat="false" ht="15" hidden="false" customHeight="true" outlineLevel="0" collapsed="false">
      <c r="A22" s="6" t="n">
        <v>18534</v>
      </c>
      <c r="B22" s="6" t="s">
        <v>173</v>
      </c>
      <c r="C22" s="6" t="s">
        <v>140</v>
      </c>
      <c r="D22" s="6" t="n">
        <v>11</v>
      </c>
      <c r="E22" s="20" t="s">
        <v>73</v>
      </c>
      <c r="F22" s="6" t="s">
        <v>174</v>
      </c>
    </row>
    <row r="23" customFormat="false" ht="15" hidden="false" customHeight="true" outlineLevel="0" collapsed="false">
      <c r="A23" s="6" t="n">
        <v>18402</v>
      </c>
      <c r="B23" s="6" t="s">
        <v>175</v>
      </c>
      <c r="C23" s="6" t="s">
        <v>140</v>
      </c>
      <c r="D23" s="6" t="n">
        <v>11</v>
      </c>
      <c r="E23" s="20" t="s">
        <v>73</v>
      </c>
      <c r="F23" s="6" t="s">
        <v>176</v>
      </c>
    </row>
    <row r="24" customFormat="false" ht="15" hidden="false" customHeight="true" outlineLevel="0" collapsed="false">
      <c r="A24" s="6" t="n">
        <v>18436</v>
      </c>
      <c r="B24" s="6" t="s">
        <v>177</v>
      </c>
      <c r="C24" s="6" t="s">
        <v>140</v>
      </c>
      <c r="D24" s="6" t="n">
        <v>11</v>
      </c>
      <c r="E24" s="20" t="s">
        <v>73</v>
      </c>
      <c r="F24" s="6" t="s">
        <v>178</v>
      </c>
    </row>
    <row r="25" customFormat="false" ht="15" hidden="false" customHeight="true" outlineLevel="0" collapsed="false">
      <c r="A25" s="6" t="n">
        <v>17874</v>
      </c>
      <c r="B25" s="6" t="s">
        <v>179</v>
      </c>
      <c r="C25" s="6" t="s">
        <v>140</v>
      </c>
      <c r="D25" s="6" t="n">
        <v>11</v>
      </c>
      <c r="E25" s="20" t="s">
        <v>73</v>
      </c>
      <c r="F25" s="6" t="s">
        <v>174</v>
      </c>
    </row>
    <row r="26" customFormat="false" ht="15" hidden="false" customHeight="true" outlineLevel="0" collapsed="false">
      <c r="A26" s="6" t="n">
        <v>17379</v>
      </c>
      <c r="B26" s="6" t="s">
        <v>180</v>
      </c>
      <c r="C26" s="6" t="s">
        <v>140</v>
      </c>
      <c r="D26" s="6" t="n">
        <v>11</v>
      </c>
      <c r="E26" s="20" t="s">
        <v>73</v>
      </c>
      <c r="F26" s="6" t="s">
        <v>181</v>
      </c>
    </row>
    <row r="27" customFormat="false" ht="15" hidden="false" customHeight="true" outlineLevel="0" collapsed="false">
      <c r="A27" s="6" t="n">
        <v>16763</v>
      </c>
      <c r="B27" s="6" t="s">
        <v>182</v>
      </c>
      <c r="C27" s="6" t="s">
        <v>140</v>
      </c>
      <c r="D27" s="6" t="n">
        <v>11</v>
      </c>
      <c r="E27" s="20" t="s">
        <v>73</v>
      </c>
      <c r="F27" s="6" t="s">
        <v>160</v>
      </c>
    </row>
    <row r="28" customFormat="false" ht="15" hidden="false" customHeight="true" outlineLevel="0" collapsed="false">
      <c r="A28" s="6" t="n">
        <v>16687</v>
      </c>
      <c r="B28" s="6" t="s">
        <v>183</v>
      </c>
      <c r="C28" s="6" t="s">
        <v>140</v>
      </c>
      <c r="D28" s="20" t="n">
        <v>22</v>
      </c>
      <c r="E28" s="20" t="s">
        <v>73</v>
      </c>
      <c r="F28" s="6" t="s">
        <v>184</v>
      </c>
    </row>
    <row r="29" customFormat="false" ht="15" hidden="false" customHeight="true" outlineLevel="0" collapsed="false">
      <c r="A29" s="6" t="n">
        <v>18600</v>
      </c>
      <c r="B29" s="6" t="s">
        <v>185</v>
      </c>
      <c r="C29" s="6" t="s">
        <v>140</v>
      </c>
      <c r="D29" s="6" t="n">
        <v>11</v>
      </c>
      <c r="E29" s="21" t="s">
        <v>79</v>
      </c>
      <c r="F29" s="6" t="s">
        <v>186</v>
      </c>
    </row>
    <row r="30" customFormat="false" ht="15" hidden="false" customHeight="true" outlineLevel="0" collapsed="false">
      <c r="A30" s="6" t="n">
        <v>18468</v>
      </c>
      <c r="B30" s="6" t="s">
        <v>187</v>
      </c>
      <c r="C30" s="6" t="s">
        <v>140</v>
      </c>
      <c r="D30" s="6" t="n">
        <v>11</v>
      </c>
      <c r="E30" s="20" t="s">
        <v>73</v>
      </c>
      <c r="F30" s="6" t="s">
        <v>188</v>
      </c>
    </row>
    <row r="31" customFormat="false" ht="15" hidden="false" customHeight="true" outlineLevel="0" collapsed="false">
      <c r="A31" s="6" t="n">
        <v>18303</v>
      </c>
      <c r="B31" s="6" t="s">
        <v>189</v>
      </c>
      <c r="C31" s="6" t="s">
        <v>140</v>
      </c>
      <c r="D31" s="6" t="n">
        <v>11</v>
      </c>
      <c r="E31" s="20" t="s">
        <v>73</v>
      </c>
      <c r="F31" s="6" t="s">
        <v>149</v>
      </c>
    </row>
    <row r="32" customFormat="false" ht="15" hidden="false" customHeight="true" outlineLevel="0" collapsed="false">
      <c r="A32" s="6" t="n">
        <v>17775</v>
      </c>
      <c r="B32" s="6" t="s">
        <v>190</v>
      </c>
      <c r="C32" s="6" t="s">
        <v>140</v>
      </c>
      <c r="D32" s="6" t="n">
        <v>11</v>
      </c>
      <c r="E32" s="21" t="s">
        <v>79</v>
      </c>
      <c r="F32" s="6" t="s">
        <v>191</v>
      </c>
    </row>
    <row r="33" customFormat="false" ht="15" hidden="false" customHeight="true" outlineLevel="0" collapsed="false">
      <c r="A33" s="6" t="n">
        <v>17187</v>
      </c>
      <c r="B33" s="6" t="s">
        <v>192</v>
      </c>
      <c r="C33" s="6" t="s">
        <v>140</v>
      </c>
      <c r="D33" s="20" t="n">
        <v>22</v>
      </c>
      <c r="E33" s="20" t="s">
        <v>73</v>
      </c>
      <c r="F33" s="6" t="s">
        <v>193</v>
      </c>
    </row>
    <row r="34" customFormat="false" ht="15" hidden="false" customHeight="true" outlineLevel="0" collapsed="false">
      <c r="A34" s="6" t="n">
        <v>17188</v>
      </c>
      <c r="B34" s="6" t="s">
        <v>194</v>
      </c>
      <c r="C34" s="6" t="s">
        <v>140</v>
      </c>
      <c r="D34" s="20" t="n">
        <v>22</v>
      </c>
      <c r="E34" s="20" t="s">
        <v>73</v>
      </c>
      <c r="F34" s="6" t="s">
        <v>174</v>
      </c>
    </row>
    <row r="35" customFormat="false" ht="15" hidden="false" customHeight="true" outlineLevel="0" collapsed="false">
      <c r="A35" s="6" t="n">
        <v>17907</v>
      </c>
      <c r="B35" s="6" t="s">
        <v>195</v>
      </c>
      <c r="C35" s="6" t="s">
        <v>140</v>
      </c>
      <c r="D35" s="20" t="n">
        <v>22</v>
      </c>
      <c r="E35" s="21" t="s">
        <v>79</v>
      </c>
      <c r="F35" s="6" t="s">
        <v>196</v>
      </c>
    </row>
    <row r="36" customFormat="false" ht="15" hidden="false" customHeight="true" outlineLevel="0" collapsed="false">
      <c r="A36" s="6" t="n">
        <v>17280</v>
      </c>
      <c r="B36" s="6" t="s">
        <v>197</v>
      </c>
      <c r="C36" s="6" t="s">
        <v>140</v>
      </c>
      <c r="D36" s="6" t="n">
        <v>11</v>
      </c>
      <c r="E36" s="20" t="s">
        <v>73</v>
      </c>
      <c r="F36" s="6" t="s">
        <v>198</v>
      </c>
    </row>
    <row r="37" customFormat="false" ht="15" hidden="false" customHeight="true" outlineLevel="0" collapsed="false">
      <c r="A37" s="6" t="n">
        <v>18006</v>
      </c>
      <c r="B37" s="6" t="s">
        <v>199</v>
      </c>
      <c r="C37" s="6" t="s">
        <v>140</v>
      </c>
      <c r="D37" s="6" t="n">
        <v>11</v>
      </c>
      <c r="E37" s="20" t="s">
        <v>73</v>
      </c>
      <c r="F37" s="6" t="s">
        <v>178</v>
      </c>
    </row>
    <row r="38" customFormat="false" ht="15" hidden="false" customHeight="true" outlineLevel="0" collapsed="false">
      <c r="A38" s="6" t="n">
        <v>17314</v>
      </c>
      <c r="B38" s="6" t="s">
        <v>200</v>
      </c>
      <c r="C38" s="6" t="s">
        <v>140</v>
      </c>
      <c r="D38" s="6" t="n">
        <v>11</v>
      </c>
      <c r="E38" s="20" t="s">
        <v>73</v>
      </c>
      <c r="F38" s="6" t="s">
        <v>201</v>
      </c>
    </row>
    <row r="39" customFormat="false" ht="15" hidden="false" customHeight="true" outlineLevel="0" collapsed="false">
      <c r="A39" s="6" t="n">
        <v>17412</v>
      </c>
      <c r="B39" s="6" t="s">
        <v>202</v>
      </c>
      <c r="C39" s="6" t="s">
        <v>140</v>
      </c>
      <c r="D39" s="6" t="n">
        <v>11</v>
      </c>
      <c r="E39" s="20" t="s">
        <v>73</v>
      </c>
      <c r="F39" s="6" t="s">
        <v>203</v>
      </c>
    </row>
    <row r="40" customFormat="false" ht="15" hidden="false" customHeight="true" outlineLevel="0" collapsed="false">
      <c r="A40" s="6" t="n">
        <v>17183</v>
      </c>
      <c r="B40" s="6" t="s">
        <v>204</v>
      </c>
      <c r="C40" s="6" t="s">
        <v>140</v>
      </c>
      <c r="D40" s="20" t="n">
        <v>22</v>
      </c>
      <c r="E40" s="20" t="s">
        <v>73</v>
      </c>
      <c r="F40" s="6" t="s">
        <v>205</v>
      </c>
    </row>
    <row r="41" customFormat="false" ht="15" hidden="false" customHeight="true" outlineLevel="0" collapsed="false">
      <c r="A41" s="6" t="n">
        <v>17185</v>
      </c>
      <c r="B41" s="6" t="s">
        <v>206</v>
      </c>
      <c r="C41" s="6" t="s">
        <v>140</v>
      </c>
      <c r="D41" s="6" t="n">
        <v>11</v>
      </c>
      <c r="E41" s="20" t="s">
        <v>73</v>
      </c>
      <c r="F41" s="6" t="s">
        <v>207</v>
      </c>
    </row>
    <row r="42" customFormat="false" ht="15" hidden="false" customHeight="true" outlineLevel="0" collapsed="false">
      <c r="A42" s="6" t="n">
        <v>17940</v>
      </c>
      <c r="B42" s="6" t="s">
        <v>208</v>
      </c>
      <c r="C42" s="6" t="s">
        <v>140</v>
      </c>
      <c r="D42" s="20" t="n">
        <v>22</v>
      </c>
      <c r="E42" s="20" t="s">
        <v>73</v>
      </c>
      <c r="F42" s="6" t="s">
        <v>174</v>
      </c>
    </row>
    <row r="43" customFormat="false" ht="15" hidden="false" customHeight="true" outlineLevel="0" collapsed="false">
      <c r="A43" s="6" t="n">
        <v>18633</v>
      </c>
      <c r="B43" s="6" t="s">
        <v>209</v>
      </c>
      <c r="C43" s="6" t="s">
        <v>140</v>
      </c>
      <c r="D43" s="6" t="n">
        <v>11</v>
      </c>
      <c r="E43" s="20" t="s">
        <v>73</v>
      </c>
      <c r="F43" s="6" t="s">
        <v>149</v>
      </c>
    </row>
    <row r="44" customFormat="false" ht="15" hidden="false" customHeight="true" outlineLevel="0" collapsed="false">
      <c r="A44" s="6" t="n">
        <v>17184</v>
      </c>
      <c r="B44" s="6" t="s">
        <v>210</v>
      </c>
      <c r="C44" s="6" t="s">
        <v>211</v>
      </c>
      <c r="D44" s="20" t="n">
        <v>22</v>
      </c>
      <c r="E44" s="21" t="s">
        <v>79</v>
      </c>
      <c r="F44" s="6" t="s">
        <v>212</v>
      </c>
    </row>
    <row r="45" customFormat="false" ht="15" hidden="false" customHeight="true" outlineLevel="0" collapsed="false">
      <c r="A45" s="6" t="n">
        <v>16760</v>
      </c>
      <c r="B45" s="6" t="s">
        <v>213</v>
      </c>
      <c r="C45" s="6" t="s">
        <v>211</v>
      </c>
      <c r="D45" s="21" t="n">
        <v>44</v>
      </c>
      <c r="E45" s="21" t="s">
        <v>79</v>
      </c>
      <c r="F45" s="6" t="s">
        <v>214</v>
      </c>
    </row>
    <row r="46" customFormat="false" ht="15" hidden="false" customHeight="true" outlineLevel="0" collapsed="false">
      <c r="A46" s="6" t="n">
        <v>16983</v>
      </c>
      <c r="B46" s="6" t="s">
        <v>215</v>
      </c>
      <c r="C46" s="6" t="s">
        <v>211</v>
      </c>
      <c r="D46" s="20" t="n">
        <v>33</v>
      </c>
      <c r="E46" s="21" t="s">
        <v>79</v>
      </c>
      <c r="F46" s="6" t="s">
        <v>216</v>
      </c>
    </row>
    <row r="47" customFormat="false" ht="15" hidden="false" customHeight="true" outlineLevel="0" collapsed="false">
      <c r="A47" s="6" t="n">
        <v>16888</v>
      </c>
      <c r="B47" s="6" t="s">
        <v>217</v>
      </c>
      <c r="C47" s="6" t="s">
        <v>211</v>
      </c>
      <c r="D47" s="20" t="n">
        <v>28</v>
      </c>
      <c r="E47" s="20" t="s">
        <v>73</v>
      </c>
      <c r="F47" s="6" t="s">
        <v>218</v>
      </c>
    </row>
    <row r="48" customFormat="false" ht="15" hidden="false" customHeight="true" outlineLevel="0" collapsed="false">
      <c r="A48" s="6" t="n">
        <v>18336</v>
      </c>
      <c r="B48" s="6" t="s">
        <v>219</v>
      </c>
      <c r="C48" s="6" t="s">
        <v>211</v>
      </c>
      <c r="D48" s="20" t="n">
        <v>22</v>
      </c>
      <c r="E48" s="20" t="s">
        <v>73</v>
      </c>
      <c r="F48" s="6" t="s">
        <v>184</v>
      </c>
    </row>
    <row r="49" customFormat="false" ht="15" hidden="false" customHeight="true" outlineLevel="0" collapsed="false">
      <c r="A49" s="6" t="n">
        <v>17676</v>
      </c>
      <c r="B49" s="6" t="s">
        <v>220</v>
      </c>
      <c r="C49" s="6" t="s">
        <v>211</v>
      </c>
      <c r="D49" s="20" t="n">
        <v>22</v>
      </c>
      <c r="E49" s="20" t="s">
        <v>73</v>
      </c>
      <c r="F49" s="6" t="s">
        <v>174</v>
      </c>
    </row>
    <row r="50" customFormat="false" ht="15" hidden="false" customHeight="true" outlineLevel="0" collapsed="false">
      <c r="A50" s="6" t="n">
        <v>18369</v>
      </c>
      <c r="B50" s="6" t="s">
        <v>221</v>
      </c>
      <c r="C50" s="6" t="s">
        <v>211</v>
      </c>
      <c r="D50" s="20" t="n">
        <v>28</v>
      </c>
      <c r="E50" s="20" t="s">
        <v>73</v>
      </c>
      <c r="F50" s="6" t="s">
        <v>184</v>
      </c>
    </row>
    <row r="51" customFormat="false" ht="15" hidden="false" customHeight="true" outlineLevel="0" collapsed="false">
      <c r="A51" s="6" t="n">
        <v>17214</v>
      </c>
      <c r="B51" s="6" t="s">
        <v>222</v>
      </c>
      <c r="C51" s="6" t="s">
        <v>211</v>
      </c>
      <c r="D51" s="20" t="n">
        <v>33</v>
      </c>
      <c r="E51" s="20" t="s">
        <v>73</v>
      </c>
      <c r="F51" s="6" t="s">
        <v>223</v>
      </c>
    </row>
    <row r="52" customFormat="false" ht="15" hidden="false" customHeight="true" outlineLevel="0" collapsed="false">
      <c r="A52" s="6" t="n">
        <v>16887</v>
      </c>
      <c r="B52" s="6" t="s">
        <v>224</v>
      </c>
      <c r="C52" s="6" t="s">
        <v>211</v>
      </c>
      <c r="D52" s="6" t="n">
        <v>17</v>
      </c>
      <c r="E52" s="20" t="s">
        <v>73</v>
      </c>
      <c r="F52" s="6" t="s">
        <v>174</v>
      </c>
    </row>
    <row r="53" customFormat="false" ht="15" hidden="false" customHeight="true" outlineLevel="0" collapsed="false">
      <c r="A53" s="6" t="n">
        <v>6853</v>
      </c>
      <c r="B53" s="6" t="s">
        <v>225</v>
      </c>
      <c r="C53" s="6" t="s">
        <v>211</v>
      </c>
      <c r="D53" s="20" t="n">
        <v>33</v>
      </c>
      <c r="E53" s="20" t="s">
        <v>73</v>
      </c>
      <c r="F53" s="6" t="s">
        <v>184</v>
      </c>
    </row>
    <row r="54" customFormat="false" ht="15" hidden="false" customHeight="true" outlineLevel="0" collapsed="false">
      <c r="A54" s="6" t="n">
        <v>18171</v>
      </c>
      <c r="B54" s="6" t="s">
        <v>226</v>
      </c>
      <c r="C54" s="6" t="s">
        <v>211</v>
      </c>
      <c r="D54" s="20" t="n">
        <v>22</v>
      </c>
      <c r="E54" s="20" t="s">
        <v>73</v>
      </c>
      <c r="F54" s="6" t="s">
        <v>178</v>
      </c>
    </row>
    <row r="55" customFormat="false" ht="15" hidden="false" customHeight="true" outlineLevel="0" collapsed="false">
      <c r="A55" s="6" t="n">
        <v>6829</v>
      </c>
      <c r="B55" s="6" t="s">
        <v>227</v>
      </c>
      <c r="C55" s="6" t="s">
        <v>211</v>
      </c>
      <c r="D55" s="21" t="n">
        <v>56</v>
      </c>
      <c r="E55" s="21" t="s">
        <v>79</v>
      </c>
      <c r="F55" s="6" t="s">
        <v>228</v>
      </c>
    </row>
    <row r="56" customFormat="false" ht="15" hidden="false" customHeight="true" outlineLevel="0" collapsed="false">
      <c r="A56" s="6" t="n">
        <v>17247</v>
      </c>
      <c r="B56" s="6" t="s">
        <v>150</v>
      </c>
      <c r="C56" s="6" t="s">
        <v>211</v>
      </c>
      <c r="D56" s="6" t="n">
        <v>17</v>
      </c>
      <c r="E56" s="21" t="s">
        <v>79</v>
      </c>
      <c r="F56" s="6" t="s">
        <v>229</v>
      </c>
    </row>
    <row r="57" customFormat="false" ht="15" hidden="false" customHeight="true" outlineLevel="0" collapsed="false">
      <c r="A57" s="6" t="n">
        <v>16761</v>
      </c>
      <c r="B57" s="6" t="s">
        <v>230</v>
      </c>
      <c r="C57" s="6" t="s">
        <v>211</v>
      </c>
      <c r="D57" s="21" t="n">
        <v>44</v>
      </c>
      <c r="E57" s="21" t="s">
        <v>79</v>
      </c>
      <c r="F57" s="6" t="s">
        <v>214</v>
      </c>
    </row>
    <row r="58" customFormat="false" ht="15" hidden="false" customHeight="true" outlineLevel="0" collapsed="false">
      <c r="A58" s="6" t="n">
        <v>16729</v>
      </c>
      <c r="B58" s="6" t="s">
        <v>231</v>
      </c>
      <c r="C58" s="6" t="s">
        <v>211</v>
      </c>
      <c r="D58" s="21" t="n">
        <v>56</v>
      </c>
      <c r="E58" s="21" t="s">
        <v>79</v>
      </c>
      <c r="F58" s="6" t="s">
        <v>228</v>
      </c>
    </row>
    <row r="59" customFormat="false" ht="15" hidden="false" customHeight="true" outlineLevel="0" collapsed="false">
      <c r="A59" s="6" t="n">
        <v>16759</v>
      </c>
      <c r="B59" s="6" t="s">
        <v>182</v>
      </c>
      <c r="C59" s="6" t="s">
        <v>211</v>
      </c>
      <c r="D59" s="20" t="n">
        <v>28</v>
      </c>
      <c r="E59" s="20" t="s">
        <v>73</v>
      </c>
      <c r="F59" s="6" t="s">
        <v>184</v>
      </c>
    </row>
    <row r="60" customFormat="false" ht="15" hidden="false" customHeight="true" outlineLevel="0" collapsed="false">
      <c r="A60" s="6" t="n">
        <v>16753</v>
      </c>
      <c r="B60" s="6" t="s">
        <v>232</v>
      </c>
      <c r="C60" s="6" t="s">
        <v>211</v>
      </c>
      <c r="D60" s="20" t="n">
        <v>28</v>
      </c>
      <c r="E60" s="20" t="s">
        <v>73</v>
      </c>
      <c r="F60" s="6" t="s">
        <v>184</v>
      </c>
    </row>
    <row r="61" customFormat="false" ht="15" hidden="false" customHeight="true" outlineLevel="0" collapsed="false">
      <c r="A61" s="6" t="n">
        <v>13622</v>
      </c>
      <c r="B61" s="6" t="s">
        <v>183</v>
      </c>
      <c r="C61" s="6" t="s">
        <v>211</v>
      </c>
      <c r="D61" s="20" t="n">
        <v>28</v>
      </c>
      <c r="E61" s="20" t="s">
        <v>73</v>
      </c>
      <c r="F61" s="6" t="s">
        <v>184</v>
      </c>
    </row>
    <row r="62" customFormat="false" ht="15" hidden="false" customHeight="true" outlineLevel="0" collapsed="false">
      <c r="A62" s="6" t="n">
        <v>18567</v>
      </c>
      <c r="B62" s="6" t="s">
        <v>233</v>
      </c>
      <c r="C62" s="6" t="s">
        <v>211</v>
      </c>
      <c r="D62" s="20" t="n">
        <v>28</v>
      </c>
      <c r="E62" s="20" t="s">
        <v>73</v>
      </c>
      <c r="F62" s="6" t="s">
        <v>234</v>
      </c>
    </row>
    <row r="63" customFormat="false" ht="15" hidden="false" customHeight="true" outlineLevel="0" collapsed="false">
      <c r="A63" s="6" t="n">
        <v>17478</v>
      </c>
      <c r="B63" s="6" t="s">
        <v>235</v>
      </c>
      <c r="C63" s="6" t="s">
        <v>211</v>
      </c>
      <c r="D63" s="6" t="n">
        <v>17</v>
      </c>
      <c r="E63" s="20" t="s">
        <v>73</v>
      </c>
      <c r="F63" s="6" t="s">
        <v>203</v>
      </c>
    </row>
    <row r="64" customFormat="false" ht="15" hidden="false" customHeight="true" outlineLevel="0" collapsed="false">
      <c r="A64" s="6" t="n">
        <v>8237</v>
      </c>
      <c r="B64" s="6" t="s">
        <v>236</v>
      </c>
      <c r="C64" s="6" t="s">
        <v>211</v>
      </c>
      <c r="D64" s="6" t="n">
        <v>6</v>
      </c>
      <c r="E64" s="20" t="s">
        <v>73</v>
      </c>
      <c r="F64" s="6" t="s">
        <v>237</v>
      </c>
    </row>
    <row r="65" customFormat="false" ht="15" hidden="false" customHeight="true" outlineLevel="0" collapsed="false">
      <c r="A65" s="6" t="n">
        <v>16723</v>
      </c>
      <c r="B65" s="6" t="s">
        <v>238</v>
      </c>
      <c r="C65" s="6" t="s">
        <v>211</v>
      </c>
      <c r="D65" s="20" t="n">
        <v>22</v>
      </c>
      <c r="E65" s="20" t="s">
        <v>73</v>
      </c>
      <c r="F65" s="6" t="s">
        <v>184</v>
      </c>
    </row>
    <row r="66" customFormat="false" ht="15" hidden="false" customHeight="true" outlineLevel="0" collapsed="false">
      <c r="A66" s="6" t="n">
        <v>16725</v>
      </c>
      <c r="B66" s="6" t="s">
        <v>239</v>
      </c>
      <c r="C66" s="6" t="s">
        <v>211</v>
      </c>
      <c r="D66" s="20" t="n">
        <v>33</v>
      </c>
      <c r="E66" s="20" t="s">
        <v>73</v>
      </c>
      <c r="F66" s="6" t="s">
        <v>184</v>
      </c>
    </row>
    <row r="67" customFormat="false" ht="15" hidden="false" customHeight="true" outlineLevel="0" collapsed="false">
      <c r="A67" s="6" t="n">
        <v>18072</v>
      </c>
      <c r="B67" s="6" t="s">
        <v>240</v>
      </c>
      <c r="C67" s="6" t="s">
        <v>211</v>
      </c>
      <c r="D67" s="20" t="n">
        <v>28</v>
      </c>
      <c r="E67" s="20" t="s">
        <v>73</v>
      </c>
      <c r="F67" s="6" t="s">
        <v>184</v>
      </c>
    </row>
    <row r="68" customFormat="false" ht="15" hidden="false" customHeight="true" outlineLevel="0" collapsed="false">
      <c r="A68" s="6" t="n">
        <v>16758</v>
      </c>
      <c r="B68" s="6" t="s">
        <v>241</v>
      </c>
      <c r="C68" s="6" t="s">
        <v>211</v>
      </c>
      <c r="D68" s="20" t="n">
        <v>22</v>
      </c>
      <c r="E68" s="21" t="s">
        <v>79</v>
      </c>
      <c r="F68" s="6" t="s">
        <v>242</v>
      </c>
    </row>
    <row r="69" customFormat="false" ht="15" hidden="false" customHeight="true" outlineLevel="0" collapsed="false">
      <c r="A69" s="6" t="n">
        <v>17577</v>
      </c>
      <c r="B69" s="6" t="s">
        <v>243</v>
      </c>
      <c r="C69" s="6" t="s">
        <v>211</v>
      </c>
      <c r="D69" s="20" t="n">
        <v>28</v>
      </c>
      <c r="E69" s="20" t="s">
        <v>73</v>
      </c>
      <c r="F69" s="6" t="s">
        <v>244</v>
      </c>
    </row>
    <row r="70" customFormat="false" ht="15" hidden="false" customHeight="true" outlineLevel="0" collapsed="false">
      <c r="A70" s="6" t="n">
        <v>16852</v>
      </c>
      <c r="B70" s="6" t="s">
        <v>245</v>
      </c>
      <c r="C70" s="6" t="s">
        <v>211</v>
      </c>
      <c r="D70" s="6" t="n">
        <v>17</v>
      </c>
      <c r="E70" s="21" t="s">
        <v>79</v>
      </c>
      <c r="F70" s="6" t="s">
        <v>246</v>
      </c>
    </row>
    <row r="71" customFormat="false" ht="15" hidden="false" customHeight="true" outlineLevel="0" collapsed="false">
      <c r="A71" s="6" t="n">
        <v>16754</v>
      </c>
      <c r="B71" s="6" t="s">
        <v>247</v>
      </c>
      <c r="C71" s="6" t="s">
        <v>211</v>
      </c>
      <c r="D71" s="6" t="n">
        <v>17</v>
      </c>
      <c r="E71" s="20" t="s">
        <v>73</v>
      </c>
      <c r="F71" s="6" t="s">
        <v>184</v>
      </c>
    </row>
    <row r="72" customFormat="false" ht="15" hidden="false" customHeight="true" outlineLevel="0" collapsed="false">
      <c r="A72" s="6" t="n">
        <v>17742</v>
      </c>
      <c r="B72" s="6" t="s">
        <v>248</v>
      </c>
      <c r="C72" s="6" t="s">
        <v>211</v>
      </c>
      <c r="D72" s="20" t="n">
        <v>33</v>
      </c>
      <c r="E72" s="20" t="s">
        <v>73</v>
      </c>
      <c r="F72" s="6" t="s">
        <v>184</v>
      </c>
    </row>
    <row r="73" customFormat="false" ht="15" hidden="false" customHeight="true" outlineLevel="0" collapsed="false">
      <c r="A73" s="6" t="n">
        <v>16720</v>
      </c>
      <c r="B73" s="6" t="s">
        <v>249</v>
      </c>
      <c r="C73" s="6" t="s">
        <v>211</v>
      </c>
      <c r="D73" s="21" t="n">
        <v>44</v>
      </c>
      <c r="E73" s="21" t="s">
        <v>79</v>
      </c>
      <c r="F73" s="6" t="s">
        <v>229</v>
      </c>
    </row>
    <row r="74" customFormat="false" ht="15" hidden="false" customHeight="true" outlineLevel="0" collapsed="false">
      <c r="A74" s="6" t="n">
        <v>17808</v>
      </c>
      <c r="B74" s="6" t="s">
        <v>250</v>
      </c>
      <c r="C74" s="6" t="s">
        <v>211</v>
      </c>
      <c r="D74" s="20" t="n">
        <v>28</v>
      </c>
      <c r="E74" s="20" t="s">
        <v>73</v>
      </c>
      <c r="F74" s="6" t="s">
        <v>184</v>
      </c>
    </row>
    <row r="75" customFormat="false" ht="15" hidden="false" customHeight="true" outlineLevel="0" collapsed="false">
      <c r="A75" s="6" t="n">
        <v>18501</v>
      </c>
      <c r="B75" s="6" t="s">
        <v>251</v>
      </c>
      <c r="C75" s="6" t="s">
        <v>211</v>
      </c>
      <c r="D75" s="20" t="n">
        <v>28</v>
      </c>
      <c r="E75" s="20" t="s">
        <v>73</v>
      </c>
      <c r="F75" s="6" t="s">
        <v>184</v>
      </c>
    </row>
    <row r="76" customFormat="false" ht="15" hidden="false" customHeight="true" outlineLevel="0" collapsed="false">
      <c r="A76" s="6" t="n">
        <v>16889</v>
      </c>
      <c r="B76" s="6" t="s">
        <v>252</v>
      </c>
      <c r="C76" s="6" t="s">
        <v>211</v>
      </c>
      <c r="D76" s="20" t="n">
        <v>28</v>
      </c>
      <c r="E76" s="20" t="s">
        <v>73</v>
      </c>
      <c r="F76" s="6" t="s">
        <v>253</v>
      </c>
    </row>
    <row r="77" customFormat="false" ht="15" hidden="false" customHeight="true" outlineLevel="0" collapsed="false">
      <c r="A77" s="6" t="n">
        <v>17610</v>
      </c>
      <c r="B77" s="6" t="s">
        <v>254</v>
      </c>
      <c r="C77" s="6" t="s">
        <v>211</v>
      </c>
      <c r="D77" s="6" t="n">
        <v>17</v>
      </c>
      <c r="E77" s="20" t="s">
        <v>73</v>
      </c>
      <c r="F77" s="6" t="s">
        <v>255</v>
      </c>
    </row>
    <row r="78" customFormat="false" ht="15" hidden="false" customHeight="true" outlineLevel="0" collapsed="false">
      <c r="A78" s="6" t="n">
        <v>16762</v>
      </c>
      <c r="B78" s="6" t="s">
        <v>256</v>
      </c>
      <c r="C78" s="6" t="s">
        <v>211</v>
      </c>
      <c r="D78" s="20" t="n">
        <v>22</v>
      </c>
      <c r="E78" s="20" t="s">
        <v>73</v>
      </c>
      <c r="F78" s="6" t="s">
        <v>184</v>
      </c>
    </row>
    <row r="79" customFormat="false" ht="15" hidden="false" customHeight="true" outlineLevel="0" collapsed="false">
      <c r="A79" s="6" t="n">
        <v>18337</v>
      </c>
      <c r="B79" s="6" t="s">
        <v>257</v>
      </c>
      <c r="C79" s="6" t="s">
        <v>211</v>
      </c>
      <c r="D79" s="20" t="n">
        <v>28</v>
      </c>
      <c r="E79" s="21" t="s">
        <v>79</v>
      </c>
      <c r="F79" s="6" t="s">
        <v>242</v>
      </c>
    </row>
    <row r="80" customFormat="false" ht="15" hidden="false" customHeight="true" outlineLevel="0" collapsed="false">
      <c r="A80" s="6" t="n">
        <v>16728</v>
      </c>
      <c r="B80" s="6" t="s">
        <v>258</v>
      </c>
      <c r="C80" s="6" t="s">
        <v>211</v>
      </c>
      <c r="D80" s="20" t="n">
        <v>33</v>
      </c>
      <c r="E80" s="20" t="s">
        <v>73</v>
      </c>
      <c r="F80" s="6" t="s">
        <v>184</v>
      </c>
    </row>
    <row r="81" customFormat="false" ht="15" hidden="false" customHeight="true" outlineLevel="0" collapsed="false">
      <c r="A81" s="6" t="n">
        <v>16727</v>
      </c>
      <c r="B81" s="6" t="s">
        <v>259</v>
      </c>
      <c r="C81" s="6" t="s">
        <v>211</v>
      </c>
      <c r="D81" s="20" t="n">
        <v>33</v>
      </c>
      <c r="E81" s="20" t="s">
        <v>73</v>
      </c>
      <c r="F81" s="6" t="s">
        <v>260</v>
      </c>
    </row>
    <row r="82" customFormat="false" ht="15" hidden="false" customHeight="true" outlineLevel="0" collapsed="false">
      <c r="A82" s="6" t="n">
        <v>16719</v>
      </c>
      <c r="B82" s="6" t="s">
        <v>261</v>
      </c>
      <c r="C82" s="6" t="s">
        <v>211</v>
      </c>
      <c r="D82" s="20" t="n">
        <v>33</v>
      </c>
      <c r="E82" s="20" t="s">
        <v>73</v>
      </c>
      <c r="F82" s="6" t="s">
        <v>184</v>
      </c>
    </row>
    <row r="83" customFormat="false" ht="15" hidden="false" customHeight="true" outlineLevel="0" collapsed="false">
      <c r="A83" s="6" t="n">
        <v>16721</v>
      </c>
      <c r="B83" s="6" t="s">
        <v>262</v>
      </c>
      <c r="C83" s="6" t="s">
        <v>211</v>
      </c>
      <c r="D83" s="20" t="n">
        <v>28</v>
      </c>
      <c r="E83" s="20" t="s">
        <v>73</v>
      </c>
      <c r="F83" s="6" t="s">
        <v>260</v>
      </c>
    </row>
    <row r="84" customFormat="false" ht="15" hidden="false" customHeight="true" outlineLevel="0" collapsed="false">
      <c r="A84" s="6" t="n">
        <v>16756</v>
      </c>
      <c r="B84" s="6" t="s">
        <v>263</v>
      </c>
      <c r="C84" s="6" t="s">
        <v>211</v>
      </c>
      <c r="D84" s="6" t="n">
        <v>6</v>
      </c>
      <c r="E84" s="22" t="s">
        <v>125</v>
      </c>
      <c r="F84" s="6" t="s">
        <v>264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6"/>
  </cols>
  <sheetData>
    <row r="1" customFormat="false" ht="19.5" hidden="false" customHeight="true" outlineLevel="0" collapsed="false">
      <c r="A1" s="2" t="s">
        <v>265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4" t="s">
        <v>266</v>
      </c>
      <c r="B3" s="4"/>
      <c r="C3" s="4"/>
      <c r="D3" s="4"/>
      <c r="E3" s="4"/>
      <c r="F3" s="4"/>
      <c r="G3" s="4"/>
      <c r="H3" s="4"/>
    </row>
    <row r="4" customFormat="false" ht="26.25" hidden="false" customHeight="true" outlineLevel="0" collapsed="false">
      <c r="A4" s="8" t="s">
        <v>267</v>
      </c>
      <c r="B4" s="8" t="s">
        <v>268</v>
      </c>
      <c r="C4" s="8" t="s">
        <v>269</v>
      </c>
      <c r="D4" s="8" t="s">
        <v>6</v>
      </c>
      <c r="E4" s="8"/>
      <c r="F4" s="8"/>
      <c r="G4" s="8"/>
      <c r="H4" s="8"/>
    </row>
    <row r="5" customFormat="false" ht="15" hidden="false" customHeight="true" outlineLevel="0" collapsed="false">
      <c r="A5" s="7" t="s">
        <v>270</v>
      </c>
      <c r="B5" s="7" t="n">
        <v>12000</v>
      </c>
      <c r="C5" s="7" t="s">
        <v>271</v>
      </c>
      <c r="D5" s="6" t="s">
        <v>272</v>
      </c>
      <c r="E5" s="6"/>
      <c r="F5" s="6"/>
      <c r="G5" s="6"/>
      <c r="H5" s="6"/>
    </row>
    <row r="6" customFormat="false" ht="15" hidden="false" customHeight="true" outlineLevel="0" collapsed="false">
      <c r="A6" s="7" t="s">
        <v>273</v>
      </c>
      <c r="B6" s="7" t="n">
        <v>1500</v>
      </c>
      <c r="C6" s="7" t="n">
        <v>12.5</v>
      </c>
      <c r="D6" s="6" t="s">
        <v>274</v>
      </c>
      <c r="E6" s="6"/>
      <c r="F6" s="6"/>
      <c r="G6" s="6"/>
      <c r="H6" s="6"/>
    </row>
    <row r="7" customFormat="false" ht="15" hidden="false" customHeight="true" outlineLevel="0" collapsed="false">
      <c r="A7" s="7" t="s">
        <v>275</v>
      </c>
      <c r="B7" s="7" t="n">
        <v>400</v>
      </c>
      <c r="C7" s="7" t="n">
        <v>26.7</v>
      </c>
      <c r="D7" s="6" t="s">
        <v>276</v>
      </c>
      <c r="E7" s="6"/>
      <c r="F7" s="6"/>
      <c r="G7" s="6"/>
      <c r="H7" s="6"/>
    </row>
    <row r="8" customFormat="false" ht="15" hidden="false" customHeight="true" outlineLevel="0" collapsed="false">
      <c r="A8" s="7" t="s">
        <v>277</v>
      </c>
      <c r="B8" s="7" t="n">
        <v>200</v>
      </c>
      <c r="C8" s="7" t="n">
        <v>50</v>
      </c>
      <c r="D8" s="6" t="s">
        <v>278</v>
      </c>
      <c r="E8" s="6"/>
      <c r="F8" s="6"/>
      <c r="G8" s="6"/>
      <c r="H8" s="6"/>
    </row>
    <row r="9" customFormat="false" ht="15" hidden="false" customHeight="true" outlineLevel="0" collapsed="false">
      <c r="A9" s="7" t="s">
        <v>279</v>
      </c>
      <c r="B9" s="7" t="n">
        <v>100</v>
      </c>
      <c r="C9" s="7" t="n">
        <v>50</v>
      </c>
      <c r="D9" s="6" t="s">
        <v>280</v>
      </c>
      <c r="E9" s="6"/>
      <c r="F9" s="6"/>
      <c r="G9" s="6"/>
      <c r="H9" s="6"/>
    </row>
    <row r="10" customFormat="false" ht="15" hidden="false" customHeight="true" outlineLevel="0" collapsed="false">
      <c r="A10" s="7" t="s">
        <v>281</v>
      </c>
      <c r="B10" s="7" t="n">
        <v>60</v>
      </c>
      <c r="C10" s="7" t="n">
        <v>60</v>
      </c>
      <c r="D10" s="6" t="s">
        <v>282</v>
      </c>
      <c r="E10" s="6"/>
      <c r="F10" s="6"/>
      <c r="G10" s="6"/>
      <c r="H10" s="6"/>
    </row>
    <row r="12" customFormat="false" ht="15" hidden="false" customHeight="true" outlineLevel="0" collapsed="false">
      <c r="A12" s="4" t="s">
        <v>283</v>
      </c>
      <c r="B12" s="4"/>
      <c r="C12" s="4"/>
      <c r="D12" s="4"/>
      <c r="E12" s="4"/>
      <c r="F12" s="4"/>
      <c r="G12" s="4"/>
      <c r="H12" s="4"/>
    </row>
    <row r="13" customFormat="false" ht="39" hidden="false" customHeight="true" outlineLevel="0" collapsed="false">
      <c r="A13" s="8" t="s">
        <v>284</v>
      </c>
      <c r="B13" s="8" t="s">
        <v>285</v>
      </c>
      <c r="C13" s="8" t="s">
        <v>286</v>
      </c>
      <c r="D13" s="8" t="s">
        <v>287</v>
      </c>
      <c r="E13" s="8" t="s">
        <v>288</v>
      </c>
      <c r="F13" s="8" t="s">
        <v>289</v>
      </c>
      <c r="G13" s="8" t="s">
        <v>290</v>
      </c>
      <c r="H13" s="8" t="s">
        <v>291</v>
      </c>
    </row>
    <row r="14" customFormat="false" ht="15" hidden="false" customHeight="true" outlineLevel="0" collapsed="false">
      <c r="A14" s="20" t="s">
        <v>292</v>
      </c>
      <c r="B14" s="20" t="s">
        <v>293</v>
      </c>
      <c r="C14" s="20" t="n">
        <v>60</v>
      </c>
      <c r="D14" s="20" t="n">
        <v>8</v>
      </c>
      <c r="E14" s="20" t="n">
        <v>6</v>
      </c>
      <c r="F14" s="20" t="n">
        <v>4</v>
      </c>
      <c r="G14" s="20" t="n">
        <v>4</v>
      </c>
      <c r="H14" s="20" t="n">
        <v>6300</v>
      </c>
    </row>
    <row r="15" customFormat="false" ht="15" hidden="false" customHeight="true" outlineLevel="0" collapsed="false">
      <c r="A15" s="6" t="s">
        <v>294</v>
      </c>
      <c r="B15" s="6" t="s">
        <v>295</v>
      </c>
      <c r="C15" s="6" t="n">
        <v>80</v>
      </c>
      <c r="D15" s="6" t="n">
        <v>12</v>
      </c>
      <c r="E15" s="6" t="n">
        <v>10</v>
      </c>
      <c r="F15" s="6" t="n">
        <v>6</v>
      </c>
      <c r="G15" s="6" t="n">
        <v>8</v>
      </c>
      <c r="H15" s="6" t="n">
        <v>12600</v>
      </c>
    </row>
    <row r="16" customFormat="false" ht="15" hidden="false" customHeight="true" outlineLevel="0" collapsed="false">
      <c r="A16" s="6" t="s">
        <v>296</v>
      </c>
      <c r="B16" s="6" t="s">
        <v>297</v>
      </c>
      <c r="C16" s="6" t="n">
        <v>100</v>
      </c>
      <c r="D16" s="6" t="n">
        <v>15</v>
      </c>
      <c r="E16" s="6" t="n">
        <v>12</v>
      </c>
      <c r="F16" s="6" t="n">
        <v>8</v>
      </c>
      <c r="G16" s="6" t="n">
        <v>12</v>
      </c>
      <c r="H16" s="6" t="n">
        <v>19000</v>
      </c>
    </row>
    <row r="17" customFormat="false" ht="15" hidden="false" customHeight="true" outlineLevel="0" collapsed="false">
      <c r="A17" s="6" t="s">
        <v>298</v>
      </c>
      <c r="B17" s="6" t="s">
        <v>299</v>
      </c>
      <c r="C17" s="6" t="n">
        <v>120</v>
      </c>
      <c r="D17" s="6" t="n">
        <v>18</v>
      </c>
      <c r="E17" s="6" t="n">
        <v>14</v>
      </c>
      <c r="F17" s="6" t="n">
        <v>10</v>
      </c>
      <c r="G17" s="6" t="n">
        <v>17</v>
      </c>
      <c r="H17" s="6" t="n">
        <v>27000</v>
      </c>
    </row>
    <row r="18" customFormat="false" ht="15" hidden="false" customHeight="true" outlineLevel="0" collapsed="false">
      <c r="A18" s="6" t="s">
        <v>300</v>
      </c>
      <c r="B18" s="6" t="s">
        <v>301</v>
      </c>
      <c r="C18" s="6" t="n">
        <v>100</v>
      </c>
      <c r="D18" s="6" t="n">
        <v>12</v>
      </c>
      <c r="E18" s="6" t="n">
        <v>10</v>
      </c>
      <c r="F18" s="6" t="n">
        <v>8</v>
      </c>
      <c r="G18" s="6" t="n">
        <v>21</v>
      </c>
      <c r="H18" s="6" t="n">
        <v>33500</v>
      </c>
    </row>
    <row r="19" customFormat="false" ht="15" hidden="false" customHeight="true" outlineLevel="0" collapsed="false">
      <c r="A19" s="6" t="s">
        <v>302</v>
      </c>
      <c r="B19" s="6" t="s">
        <v>303</v>
      </c>
      <c r="C19" s="6" t="n">
        <v>100</v>
      </c>
      <c r="D19" s="6" t="n">
        <v>12</v>
      </c>
      <c r="E19" s="6" t="n">
        <v>10</v>
      </c>
      <c r="F19" s="6" t="n">
        <v>8</v>
      </c>
      <c r="G19" s="6" t="n">
        <v>25</v>
      </c>
      <c r="H19" s="6" t="n">
        <v>39800</v>
      </c>
    </row>
    <row r="20" customFormat="false" ht="15" hidden="false" customHeight="true" outlineLevel="0" collapsed="false">
      <c r="A20" s="6" t="s">
        <v>304</v>
      </c>
      <c r="B20" s="6" t="s">
        <v>305</v>
      </c>
      <c r="C20" s="6" t="n">
        <v>100</v>
      </c>
      <c r="D20" s="6" t="n">
        <v>14</v>
      </c>
      <c r="E20" s="6" t="n">
        <v>12</v>
      </c>
      <c r="F20" s="6" t="n">
        <v>10</v>
      </c>
      <c r="G20" s="6" t="n">
        <v>30</v>
      </c>
      <c r="H20" s="6" t="n">
        <v>47700</v>
      </c>
    </row>
    <row r="21" customFormat="false" ht="15" hidden="false" customHeight="true" outlineLevel="0" collapsed="false">
      <c r="A21" s="6" t="s">
        <v>306</v>
      </c>
      <c r="B21" s="6" t="s">
        <v>307</v>
      </c>
      <c r="C21" s="6" t="n">
        <v>120</v>
      </c>
      <c r="D21" s="6" t="n">
        <v>18</v>
      </c>
      <c r="E21" s="6" t="n">
        <v>14</v>
      </c>
      <c r="F21" s="6" t="n">
        <v>12</v>
      </c>
      <c r="G21" s="6" t="n">
        <v>36</v>
      </c>
      <c r="H21" s="6" t="n">
        <v>57000</v>
      </c>
    </row>
    <row r="22" customFormat="false" ht="15" hidden="false" customHeight="true" outlineLevel="0" collapsed="false">
      <c r="A22" s="6" t="s">
        <v>308</v>
      </c>
      <c r="B22" s="6" t="s">
        <v>309</v>
      </c>
      <c r="C22" s="6" t="n">
        <v>80</v>
      </c>
      <c r="D22" s="6" t="n">
        <v>10</v>
      </c>
      <c r="E22" s="6" t="n">
        <v>8</v>
      </c>
      <c r="F22" s="6" t="n">
        <v>6</v>
      </c>
      <c r="G22" s="6" t="n">
        <v>40</v>
      </c>
      <c r="H22" s="6" t="n">
        <v>63500</v>
      </c>
    </row>
    <row r="23" customFormat="false" ht="15" hidden="false" customHeight="true" outlineLevel="0" collapsed="false">
      <c r="A23" s="6" t="s">
        <v>310</v>
      </c>
      <c r="B23" s="6" t="s">
        <v>311</v>
      </c>
      <c r="C23" s="6" t="n">
        <v>80</v>
      </c>
      <c r="D23" s="6" t="n">
        <v>10</v>
      </c>
      <c r="E23" s="6" t="n">
        <v>8</v>
      </c>
      <c r="F23" s="6" t="n">
        <v>6</v>
      </c>
      <c r="G23" s="6" t="n">
        <v>44</v>
      </c>
      <c r="H23" s="6" t="n">
        <v>70000</v>
      </c>
    </row>
    <row r="24" customFormat="false" ht="15" hidden="false" customHeight="true" outlineLevel="0" collapsed="false">
      <c r="A24" s="6" t="s">
        <v>312</v>
      </c>
      <c r="B24" s="6" t="s">
        <v>313</v>
      </c>
      <c r="C24" s="6" t="n">
        <v>60</v>
      </c>
      <c r="D24" s="6" t="n">
        <v>8</v>
      </c>
      <c r="E24" s="6" t="n">
        <v>6</v>
      </c>
      <c r="F24" s="6" t="n">
        <v>4</v>
      </c>
      <c r="G24" s="6" t="n">
        <v>47</v>
      </c>
      <c r="H24" s="6" t="n">
        <v>74500</v>
      </c>
    </row>
    <row r="25" customFormat="false" ht="15" hidden="false" customHeight="true" outlineLevel="0" collapsed="false">
      <c r="A25" s="6" t="s">
        <v>314</v>
      </c>
      <c r="B25" s="6" t="s">
        <v>315</v>
      </c>
      <c r="C25" s="6" t="n">
        <v>60</v>
      </c>
      <c r="D25" s="6" t="n">
        <v>8</v>
      </c>
      <c r="E25" s="6" t="n">
        <v>6</v>
      </c>
      <c r="F25" s="6" t="n">
        <v>4</v>
      </c>
      <c r="G25" s="6" t="n">
        <v>50</v>
      </c>
      <c r="H25" s="6" t="n">
        <v>79000</v>
      </c>
    </row>
    <row r="26" customFormat="false" ht="15" hidden="false" customHeight="true" outlineLevel="0" collapsed="false">
      <c r="A26" s="6" t="s">
        <v>316</v>
      </c>
      <c r="B26" s="6" t="s">
        <v>317</v>
      </c>
      <c r="C26" s="6" t="n">
        <v>100</v>
      </c>
      <c r="D26" s="6" t="n">
        <v>14</v>
      </c>
      <c r="E26" s="6" t="n">
        <v>12</v>
      </c>
      <c r="F26" s="6" t="n">
        <v>10</v>
      </c>
      <c r="G26" s="6" t="n">
        <v>54</v>
      </c>
      <c r="H26" s="6" t="n">
        <v>85500</v>
      </c>
    </row>
    <row r="27" customFormat="false" ht="15" hidden="false" customHeight="true" outlineLevel="0" collapsed="false">
      <c r="A27" s="6" t="s">
        <v>318</v>
      </c>
      <c r="B27" s="6" t="s">
        <v>319</v>
      </c>
      <c r="C27" s="6" t="n">
        <v>60</v>
      </c>
      <c r="D27" s="6" t="n">
        <v>6</v>
      </c>
      <c r="E27" s="6" t="n">
        <v>5</v>
      </c>
      <c r="F27" s="6" t="n">
        <v>3</v>
      </c>
      <c r="G27" s="6" t="n">
        <v>56</v>
      </c>
      <c r="H27" s="6" t="n">
        <v>88500</v>
      </c>
    </row>
    <row r="28" customFormat="false" ht="15" hidden="false" customHeight="true" outlineLevel="0" collapsed="false">
      <c r="A28" s="6" t="s">
        <v>320</v>
      </c>
      <c r="B28" s="6" t="s">
        <v>321</v>
      </c>
      <c r="C28" s="6" t="n">
        <v>60</v>
      </c>
      <c r="D28" s="6" t="n">
        <v>6</v>
      </c>
      <c r="E28" s="6" t="n">
        <v>5</v>
      </c>
      <c r="F28" s="6" t="n">
        <v>3</v>
      </c>
      <c r="G28" s="6" t="n">
        <v>58</v>
      </c>
      <c r="H28" s="6" t="n">
        <v>91500</v>
      </c>
    </row>
    <row r="29" customFormat="false" ht="15" hidden="false" customHeight="true" outlineLevel="0" collapsed="false">
      <c r="A29" s="6" t="s">
        <v>322</v>
      </c>
      <c r="B29" s="6" t="s">
        <v>323</v>
      </c>
      <c r="C29" s="6" t="n">
        <v>40</v>
      </c>
      <c r="D29" s="6" t="n">
        <v>5</v>
      </c>
      <c r="E29" s="6" t="n">
        <v>4</v>
      </c>
      <c r="F29" s="6" t="n">
        <v>2</v>
      </c>
      <c r="G29" s="6" t="n">
        <v>59</v>
      </c>
      <c r="H29" s="6" t="n">
        <v>93000</v>
      </c>
    </row>
    <row r="30" customFormat="false" ht="15" hidden="false" customHeight="true" outlineLevel="0" collapsed="false">
      <c r="A30" s="6" t="s">
        <v>324</v>
      </c>
      <c r="B30" s="6" t="s">
        <v>325</v>
      </c>
      <c r="C30" s="6" t="n">
        <v>40</v>
      </c>
      <c r="D30" s="6" t="n">
        <v>5</v>
      </c>
      <c r="E30" s="6" t="n">
        <v>4</v>
      </c>
      <c r="F30" s="6" t="n">
        <v>2</v>
      </c>
      <c r="G30" s="6" t="n">
        <v>60</v>
      </c>
      <c r="H30" s="6" t="n">
        <v>95000</v>
      </c>
    </row>
    <row r="31" customFormat="false" ht="15" hidden="false" customHeight="true" outlineLevel="0" collapsed="false">
      <c r="A31" s="6" t="s">
        <v>326</v>
      </c>
      <c r="B31" s="6" t="s">
        <v>327</v>
      </c>
      <c r="C31" s="6" t="n">
        <v>40</v>
      </c>
      <c r="D31" s="6" t="n">
        <v>5</v>
      </c>
      <c r="E31" s="6" t="n">
        <v>4</v>
      </c>
      <c r="F31" s="6" t="n">
        <v>2</v>
      </c>
      <c r="G31" s="6" t="n">
        <v>61</v>
      </c>
      <c r="H31" s="6" t="n">
        <v>96500</v>
      </c>
    </row>
    <row r="32" customFormat="false" ht="15" hidden="false" customHeight="true" outlineLevel="0" collapsed="false">
      <c r="A32" s="6" t="s">
        <v>328</v>
      </c>
      <c r="B32" s="6" t="s">
        <v>329</v>
      </c>
      <c r="C32" s="6" t="n">
        <v>30</v>
      </c>
      <c r="D32" s="6" t="n">
        <v>4</v>
      </c>
      <c r="E32" s="6" t="n">
        <v>3</v>
      </c>
      <c r="F32" s="6" t="n">
        <v>2</v>
      </c>
      <c r="G32" s="6" t="n">
        <v>62</v>
      </c>
      <c r="H32" s="6" t="n">
        <v>98000</v>
      </c>
    </row>
    <row r="33" customFormat="false" ht="15" hidden="false" customHeight="true" outlineLevel="0" collapsed="false">
      <c r="A33" s="6" t="s">
        <v>330</v>
      </c>
      <c r="B33" s="6" t="s">
        <v>331</v>
      </c>
      <c r="C33" s="6" t="n">
        <v>20</v>
      </c>
      <c r="D33" s="6" t="n">
        <v>3</v>
      </c>
      <c r="E33" s="6" t="n">
        <v>2</v>
      </c>
      <c r="F33" s="6" t="n">
        <v>1</v>
      </c>
      <c r="G33" s="6" t="n">
        <v>63</v>
      </c>
      <c r="H33" s="6" t="n">
        <v>99500</v>
      </c>
    </row>
    <row r="34" customFormat="false" ht="15" hidden="false" customHeight="true" outlineLevel="0" collapsed="false">
      <c r="A34" s="6" t="s">
        <v>332</v>
      </c>
      <c r="B34" s="6" t="s">
        <v>333</v>
      </c>
      <c r="C34" s="6" t="n">
        <v>10</v>
      </c>
      <c r="D34" s="6" t="n">
        <v>2</v>
      </c>
      <c r="E34" s="6" t="n">
        <v>2</v>
      </c>
      <c r="F34" s="6" t="n">
        <v>1</v>
      </c>
      <c r="G34" s="6" t="n">
        <v>64</v>
      </c>
      <c r="H34" s="6" t="n">
        <v>101000</v>
      </c>
    </row>
    <row r="35" customFormat="false" ht="15" hidden="false" customHeight="true" outlineLevel="0" collapsed="false">
      <c r="A35" s="6" t="s">
        <v>334</v>
      </c>
      <c r="B35" s="6" t="s">
        <v>335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64</v>
      </c>
      <c r="H35" s="6" t="n">
        <v>101000</v>
      </c>
    </row>
    <row r="36" customFormat="false" ht="15" hidden="false" customHeight="true" outlineLevel="0" collapsed="false">
      <c r="A36" s="16" t="s">
        <v>336</v>
      </c>
      <c r="B36" s="23"/>
      <c r="C36" s="16" t="n">
        <f aca="false">SUM(C14:C35)</f>
        <v>1460</v>
      </c>
      <c r="D36" s="16" t="n">
        <f aca="false">SUM(D14:D35)</f>
        <v>195</v>
      </c>
      <c r="E36" s="16" t="n">
        <f aca="false">SUM(E14:E35)</f>
        <v>157</v>
      </c>
      <c r="F36" s="16" t="n">
        <f aca="false">SUM(F14:F35)</f>
        <v>112</v>
      </c>
      <c r="G36" s="16" t="s">
        <v>337</v>
      </c>
      <c r="H36" s="16" t="s">
        <v>338</v>
      </c>
    </row>
  </sheetData>
  <mergeCells count="9">
    <mergeCell ref="A1:H1"/>
    <mergeCell ref="A3:H3"/>
    <mergeCell ref="D5:H5"/>
    <mergeCell ref="D6:H6"/>
    <mergeCell ref="D7:H7"/>
    <mergeCell ref="D8:H8"/>
    <mergeCell ref="D9:H9"/>
    <mergeCell ref="D10:H10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5" min="4" style="1" width="36"/>
    <col collapsed="false" customWidth="true" hidden="false" outlineLevel="0" max="6" min="6" style="1" width="32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339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24" t="s">
        <v>340</v>
      </c>
      <c r="B3" s="24"/>
      <c r="C3" s="24"/>
      <c r="D3" s="24"/>
      <c r="E3" s="24"/>
      <c r="F3" s="24"/>
      <c r="G3" s="24"/>
    </row>
    <row r="5" customFormat="false" ht="26.25" hidden="false" customHeight="true" outlineLevel="0" collapsed="false">
      <c r="A5" s="8" t="s">
        <v>284</v>
      </c>
      <c r="B5" s="8" t="s">
        <v>285</v>
      </c>
      <c r="C5" s="8" t="s">
        <v>341</v>
      </c>
      <c r="D5" s="8" t="s">
        <v>342</v>
      </c>
      <c r="E5" s="8" t="s">
        <v>343</v>
      </c>
      <c r="F5" s="8" t="s">
        <v>344</v>
      </c>
      <c r="G5" s="8" t="s">
        <v>345</v>
      </c>
    </row>
    <row r="6" customFormat="false" ht="60" hidden="false" customHeight="true" outlineLevel="0" collapsed="false">
      <c r="A6" s="12" t="s">
        <v>292</v>
      </c>
      <c r="B6" s="12" t="s">
        <v>346</v>
      </c>
      <c r="C6" s="12" t="s">
        <v>347</v>
      </c>
      <c r="D6" s="12" t="s">
        <v>348</v>
      </c>
      <c r="E6" s="12" t="s">
        <v>349</v>
      </c>
      <c r="F6" s="12" t="s">
        <v>350</v>
      </c>
      <c r="G6" s="12" t="s">
        <v>351</v>
      </c>
    </row>
    <row r="7" customFormat="false" ht="60" hidden="false" customHeight="true" outlineLevel="0" collapsed="false">
      <c r="A7" s="11" t="s">
        <v>294</v>
      </c>
      <c r="B7" s="11" t="s">
        <v>352</v>
      </c>
      <c r="C7" s="11" t="s">
        <v>353</v>
      </c>
      <c r="D7" s="11" t="s">
        <v>354</v>
      </c>
      <c r="E7" s="11" t="s">
        <v>355</v>
      </c>
      <c r="F7" s="11" t="s">
        <v>356</v>
      </c>
      <c r="G7" s="11" t="s">
        <v>357</v>
      </c>
    </row>
    <row r="8" customFormat="false" ht="60" hidden="false" customHeight="true" outlineLevel="0" collapsed="false">
      <c r="A8" s="11" t="s">
        <v>296</v>
      </c>
      <c r="B8" s="11" t="s">
        <v>358</v>
      </c>
      <c r="C8" s="11" t="s">
        <v>359</v>
      </c>
      <c r="D8" s="11" t="s">
        <v>360</v>
      </c>
      <c r="E8" s="11" t="s">
        <v>361</v>
      </c>
      <c r="F8" s="11" t="s">
        <v>362</v>
      </c>
      <c r="G8" s="11" t="s">
        <v>363</v>
      </c>
    </row>
    <row r="9" customFormat="false" ht="60" hidden="false" customHeight="true" outlineLevel="0" collapsed="false">
      <c r="A9" s="11" t="s">
        <v>298</v>
      </c>
      <c r="B9" s="11" t="s">
        <v>364</v>
      </c>
      <c r="C9" s="11" t="s">
        <v>365</v>
      </c>
      <c r="D9" s="11" t="s">
        <v>366</v>
      </c>
      <c r="E9" s="11" t="s">
        <v>367</v>
      </c>
      <c r="F9" s="11" t="s">
        <v>368</v>
      </c>
      <c r="G9" s="11" t="s">
        <v>369</v>
      </c>
    </row>
    <row r="10" customFormat="false" ht="60" hidden="false" customHeight="true" outlineLevel="0" collapsed="false">
      <c r="A10" s="11" t="s">
        <v>300</v>
      </c>
      <c r="B10" s="11" t="s">
        <v>370</v>
      </c>
      <c r="C10" s="11" t="s">
        <v>371</v>
      </c>
      <c r="D10" s="11" t="s">
        <v>372</v>
      </c>
      <c r="E10" s="11" t="s">
        <v>373</v>
      </c>
      <c r="F10" s="11" t="s">
        <v>271</v>
      </c>
      <c r="G10" s="11" t="s">
        <v>374</v>
      </c>
    </row>
    <row r="11" customFormat="false" ht="60" hidden="false" customHeight="true" outlineLevel="0" collapsed="false">
      <c r="A11" s="11" t="s">
        <v>302</v>
      </c>
      <c r="B11" s="11" t="s">
        <v>375</v>
      </c>
      <c r="C11" s="11" t="s">
        <v>376</v>
      </c>
      <c r="D11" s="11" t="s">
        <v>377</v>
      </c>
      <c r="E11" s="11" t="s">
        <v>378</v>
      </c>
      <c r="F11" s="11" t="s">
        <v>379</v>
      </c>
      <c r="G11" s="11" t="s">
        <v>380</v>
      </c>
    </row>
    <row r="12" customFormat="false" ht="60" hidden="false" customHeight="true" outlineLevel="0" collapsed="false">
      <c r="A12" s="11" t="s">
        <v>304</v>
      </c>
      <c r="B12" s="11" t="s">
        <v>381</v>
      </c>
      <c r="C12" s="11" t="s">
        <v>382</v>
      </c>
      <c r="D12" s="11" t="s">
        <v>383</v>
      </c>
      <c r="E12" s="11" t="s">
        <v>384</v>
      </c>
      <c r="F12" s="11" t="s">
        <v>385</v>
      </c>
      <c r="G12" s="11" t="s">
        <v>386</v>
      </c>
    </row>
    <row r="13" customFormat="false" ht="60" hidden="false" customHeight="true" outlineLevel="0" collapsed="false">
      <c r="A13" s="11" t="s">
        <v>306</v>
      </c>
      <c r="B13" s="11" t="s">
        <v>387</v>
      </c>
      <c r="C13" s="11" t="s">
        <v>388</v>
      </c>
      <c r="D13" s="11" t="s">
        <v>389</v>
      </c>
      <c r="E13" s="11" t="s">
        <v>390</v>
      </c>
      <c r="F13" s="11" t="s">
        <v>391</v>
      </c>
      <c r="G13" s="11" t="s">
        <v>392</v>
      </c>
    </row>
    <row r="14" customFormat="false" ht="60" hidden="false" customHeight="true" outlineLevel="0" collapsed="false">
      <c r="A14" s="11" t="s">
        <v>308</v>
      </c>
      <c r="B14" s="11" t="s">
        <v>393</v>
      </c>
      <c r="C14" s="11" t="s">
        <v>394</v>
      </c>
      <c r="D14" s="11" t="s">
        <v>395</v>
      </c>
      <c r="E14" s="11" t="s">
        <v>396</v>
      </c>
      <c r="F14" s="11" t="s">
        <v>271</v>
      </c>
      <c r="G14" s="11" t="s">
        <v>397</v>
      </c>
    </row>
    <row r="15" customFormat="false" ht="60" hidden="false" customHeight="true" outlineLevel="0" collapsed="false">
      <c r="A15" s="11" t="s">
        <v>310</v>
      </c>
      <c r="B15" s="11" t="s">
        <v>398</v>
      </c>
      <c r="C15" s="11" t="s">
        <v>399</v>
      </c>
      <c r="D15" s="11" t="s">
        <v>400</v>
      </c>
      <c r="E15" s="11" t="s">
        <v>401</v>
      </c>
      <c r="F15" s="11" t="s">
        <v>271</v>
      </c>
      <c r="G15" s="11" t="s">
        <v>402</v>
      </c>
    </row>
    <row r="16" customFormat="false" ht="60" hidden="false" customHeight="true" outlineLevel="0" collapsed="false">
      <c r="A16" s="11" t="s">
        <v>312</v>
      </c>
      <c r="B16" s="11" t="s">
        <v>403</v>
      </c>
      <c r="C16" s="11" t="s">
        <v>404</v>
      </c>
      <c r="D16" s="11" t="s">
        <v>405</v>
      </c>
      <c r="E16" s="11" t="s">
        <v>406</v>
      </c>
      <c r="F16" s="11" t="s">
        <v>271</v>
      </c>
      <c r="G16" s="11" t="s">
        <v>407</v>
      </c>
    </row>
    <row r="17" customFormat="false" ht="60" hidden="false" customHeight="true" outlineLevel="0" collapsed="false">
      <c r="A17" s="11" t="s">
        <v>314</v>
      </c>
      <c r="B17" s="11" t="s">
        <v>408</v>
      </c>
      <c r="C17" s="11" t="s">
        <v>409</v>
      </c>
      <c r="D17" s="11" t="s">
        <v>410</v>
      </c>
      <c r="E17" s="11" t="s">
        <v>411</v>
      </c>
      <c r="F17" s="11" t="s">
        <v>412</v>
      </c>
      <c r="G17" s="11" t="s">
        <v>413</v>
      </c>
    </row>
    <row r="18" customFormat="false" ht="60" hidden="false" customHeight="true" outlineLevel="0" collapsed="false">
      <c r="A18" s="11" t="s">
        <v>316</v>
      </c>
      <c r="B18" s="11" t="s">
        <v>414</v>
      </c>
      <c r="C18" s="11" t="s">
        <v>415</v>
      </c>
      <c r="D18" s="11" t="s">
        <v>416</v>
      </c>
      <c r="E18" s="11" t="s">
        <v>417</v>
      </c>
      <c r="F18" s="11" t="s">
        <v>418</v>
      </c>
      <c r="G18" s="11" t="s">
        <v>419</v>
      </c>
    </row>
    <row r="19" customFormat="false" ht="60" hidden="false" customHeight="true" outlineLevel="0" collapsed="false">
      <c r="A19" s="11" t="s">
        <v>318</v>
      </c>
      <c r="B19" s="11" t="s">
        <v>420</v>
      </c>
      <c r="C19" s="11" t="s">
        <v>421</v>
      </c>
      <c r="D19" s="11" t="s">
        <v>422</v>
      </c>
      <c r="E19" s="11" t="s">
        <v>423</v>
      </c>
      <c r="F19" s="11" t="s">
        <v>271</v>
      </c>
      <c r="G19" s="11" t="s">
        <v>424</v>
      </c>
    </row>
    <row r="20" customFormat="false" ht="60" hidden="false" customHeight="true" outlineLevel="0" collapsed="false">
      <c r="A20" s="11" t="s">
        <v>320</v>
      </c>
      <c r="B20" s="11" t="s">
        <v>425</v>
      </c>
      <c r="C20" s="11" t="s">
        <v>426</v>
      </c>
      <c r="D20" s="11" t="s">
        <v>427</v>
      </c>
      <c r="E20" s="11" t="s">
        <v>428</v>
      </c>
      <c r="F20" s="11" t="s">
        <v>271</v>
      </c>
      <c r="G20" s="11" t="s">
        <v>386</v>
      </c>
    </row>
    <row r="21" customFormat="false" ht="60" hidden="false" customHeight="true" outlineLevel="0" collapsed="false">
      <c r="A21" s="11" t="s">
        <v>322</v>
      </c>
      <c r="B21" s="11" t="s">
        <v>429</v>
      </c>
      <c r="C21" s="11" t="s">
        <v>430</v>
      </c>
      <c r="D21" s="11" t="s">
        <v>431</v>
      </c>
      <c r="E21" s="11" t="s">
        <v>432</v>
      </c>
      <c r="F21" s="11" t="s">
        <v>271</v>
      </c>
      <c r="G21" s="11" t="s">
        <v>111</v>
      </c>
    </row>
    <row r="22" customFormat="false" ht="60" hidden="false" customHeight="true" outlineLevel="0" collapsed="false">
      <c r="A22" s="11" t="s">
        <v>324</v>
      </c>
      <c r="B22" s="11" t="s">
        <v>433</v>
      </c>
      <c r="C22" s="11" t="s">
        <v>434</v>
      </c>
      <c r="D22" s="11" t="s">
        <v>435</v>
      </c>
      <c r="E22" s="11" t="s">
        <v>436</v>
      </c>
      <c r="F22" s="11" t="s">
        <v>271</v>
      </c>
      <c r="G22" s="11" t="s">
        <v>386</v>
      </c>
    </row>
    <row r="23" customFormat="false" ht="60" hidden="false" customHeight="true" outlineLevel="0" collapsed="false">
      <c r="A23" s="11" t="s">
        <v>326</v>
      </c>
      <c r="B23" s="11" t="s">
        <v>437</v>
      </c>
      <c r="C23" s="11" t="s">
        <v>438</v>
      </c>
      <c r="D23" s="11" t="s">
        <v>439</v>
      </c>
      <c r="E23" s="11" t="s">
        <v>440</v>
      </c>
      <c r="F23" s="11" t="s">
        <v>271</v>
      </c>
      <c r="G23" s="11" t="s">
        <v>271</v>
      </c>
    </row>
    <row r="24" customFormat="false" ht="60" hidden="false" customHeight="true" outlineLevel="0" collapsed="false">
      <c r="A24" s="11" t="s">
        <v>328</v>
      </c>
      <c r="B24" s="11" t="s">
        <v>441</v>
      </c>
      <c r="C24" s="11" t="s">
        <v>442</v>
      </c>
      <c r="D24" s="11" t="s">
        <v>443</v>
      </c>
      <c r="E24" s="11" t="s">
        <v>444</v>
      </c>
      <c r="F24" s="11" t="s">
        <v>445</v>
      </c>
      <c r="G24" s="11" t="s">
        <v>386</v>
      </c>
    </row>
    <row r="25" customFormat="false" ht="60" hidden="false" customHeight="true" outlineLevel="0" collapsed="false">
      <c r="A25" s="11" t="s">
        <v>330</v>
      </c>
      <c r="B25" s="11" t="s">
        <v>446</v>
      </c>
      <c r="C25" s="11" t="s">
        <v>447</v>
      </c>
      <c r="D25" s="11" t="s">
        <v>448</v>
      </c>
      <c r="E25" s="11" t="s">
        <v>449</v>
      </c>
      <c r="F25" s="11" t="s">
        <v>271</v>
      </c>
      <c r="G25" s="11" t="s">
        <v>450</v>
      </c>
    </row>
    <row r="26" customFormat="false" ht="60" hidden="false" customHeight="true" outlineLevel="0" collapsed="false">
      <c r="A26" s="11" t="s">
        <v>332</v>
      </c>
      <c r="B26" s="11" t="s">
        <v>451</v>
      </c>
      <c r="C26" s="11" t="s">
        <v>452</v>
      </c>
      <c r="D26" s="11" t="s">
        <v>453</v>
      </c>
      <c r="E26" s="11" t="s">
        <v>454</v>
      </c>
      <c r="F26" s="11" t="s">
        <v>271</v>
      </c>
      <c r="G26" s="11" t="s">
        <v>271</v>
      </c>
    </row>
    <row r="27" customFormat="false" ht="60" hidden="false" customHeight="true" outlineLevel="0" collapsed="false">
      <c r="A27" s="14" t="s">
        <v>334</v>
      </c>
      <c r="B27" s="14" t="s">
        <v>455</v>
      </c>
      <c r="C27" s="14" t="s">
        <v>456</v>
      </c>
      <c r="D27" s="14" t="s">
        <v>457</v>
      </c>
      <c r="E27" s="14" t="s">
        <v>271</v>
      </c>
      <c r="F27" s="14" t="s">
        <v>271</v>
      </c>
      <c r="G27" s="14" t="s">
        <v>271</v>
      </c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8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6"/>
  </cols>
  <sheetData>
    <row r="1" customFormat="false" ht="19.5" hidden="false" customHeight="true" outlineLevel="0" collapsed="false">
      <c r="A1" s="2" t="s">
        <v>458</v>
      </c>
      <c r="B1" s="2"/>
      <c r="C1" s="2"/>
      <c r="D1" s="2"/>
      <c r="E1" s="2"/>
    </row>
    <row r="3" customFormat="false" ht="15" hidden="false" customHeight="true" outlineLevel="0" collapsed="false">
      <c r="A3" s="4" t="s">
        <v>459</v>
      </c>
      <c r="B3" s="4"/>
      <c r="C3" s="4"/>
      <c r="D3" s="4"/>
      <c r="E3" s="4"/>
    </row>
    <row r="4" customFormat="false" ht="39" hidden="false" customHeight="true" outlineLevel="0" collapsed="false">
      <c r="A4" s="8" t="s">
        <v>460</v>
      </c>
      <c r="B4" s="8" t="s">
        <v>461</v>
      </c>
      <c r="C4" s="8" t="s">
        <v>462</v>
      </c>
      <c r="D4" s="8" t="s">
        <v>463</v>
      </c>
      <c r="E4" s="8" t="s">
        <v>6</v>
      </c>
    </row>
    <row r="5" customFormat="false" ht="15" hidden="false" customHeight="true" outlineLevel="0" collapsed="false">
      <c r="A5" s="6" t="s">
        <v>464</v>
      </c>
      <c r="B5" s="6" t="s">
        <v>465</v>
      </c>
      <c r="C5" s="6" t="s">
        <v>466</v>
      </c>
      <c r="D5" s="6" t="s">
        <v>467</v>
      </c>
      <c r="E5" s="6" t="s">
        <v>468</v>
      </c>
    </row>
    <row r="6" customFormat="false" ht="15" hidden="false" customHeight="true" outlineLevel="0" collapsed="false">
      <c r="A6" s="6" t="s">
        <v>469</v>
      </c>
      <c r="B6" s="6" t="s">
        <v>470</v>
      </c>
      <c r="C6" s="6" t="s">
        <v>471</v>
      </c>
      <c r="D6" s="6" t="s">
        <v>271</v>
      </c>
      <c r="E6" s="6" t="s">
        <v>472</v>
      </c>
    </row>
    <row r="7" customFormat="false" ht="15" hidden="false" customHeight="true" outlineLevel="0" collapsed="false">
      <c r="A7" s="6" t="s">
        <v>473</v>
      </c>
      <c r="B7" s="6" t="s">
        <v>474</v>
      </c>
      <c r="C7" s="6" t="s">
        <v>475</v>
      </c>
      <c r="D7" s="6" t="s">
        <v>271</v>
      </c>
      <c r="E7" s="6" t="s">
        <v>271</v>
      </c>
    </row>
    <row r="8" customFormat="false" ht="15" hidden="false" customHeight="true" outlineLevel="0" collapsed="false">
      <c r="A8" s="6" t="s">
        <v>476</v>
      </c>
      <c r="B8" s="6" t="s">
        <v>477</v>
      </c>
      <c r="C8" s="6" t="s">
        <v>478</v>
      </c>
      <c r="D8" s="6" t="s">
        <v>479</v>
      </c>
      <c r="E8" s="6" t="s">
        <v>480</v>
      </c>
    </row>
    <row r="9" customFormat="false" ht="15" hidden="false" customHeight="true" outlineLevel="0" collapsed="false">
      <c r="A9" s="6" t="s">
        <v>481</v>
      </c>
      <c r="B9" s="6" t="s">
        <v>482</v>
      </c>
      <c r="C9" s="6" t="s">
        <v>483</v>
      </c>
      <c r="D9" s="6" t="s">
        <v>484</v>
      </c>
      <c r="E9" s="6" t="s">
        <v>485</v>
      </c>
    </row>
    <row r="11" customFormat="false" ht="15" hidden="false" customHeight="true" outlineLevel="0" collapsed="false">
      <c r="A11" s="4" t="s">
        <v>486</v>
      </c>
      <c r="B11" s="4"/>
      <c r="C11" s="4"/>
      <c r="D11" s="4"/>
      <c r="E11" s="4"/>
    </row>
    <row r="12" customFormat="false" ht="15" hidden="false" customHeight="true" outlineLevel="0" collapsed="false">
      <c r="A12" s="8" t="s">
        <v>487</v>
      </c>
      <c r="B12" s="8" t="s">
        <v>6</v>
      </c>
      <c r="C12" s="8" t="s">
        <v>488</v>
      </c>
      <c r="D12" s="8" t="s">
        <v>489</v>
      </c>
      <c r="E12" s="8" t="s">
        <v>490</v>
      </c>
    </row>
    <row r="13" customFormat="false" ht="15" hidden="false" customHeight="true" outlineLevel="0" collapsed="false">
      <c r="A13" s="6" t="s">
        <v>491</v>
      </c>
      <c r="B13" s="6" t="s">
        <v>492</v>
      </c>
      <c r="C13" s="9" t="n">
        <v>290</v>
      </c>
      <c r="D13" s="25" t="n">
        <f aca="false">C13/$C$22</f>
        <v>0.142857142857143</v>
      </c>
      <c r="E13" s="6" t="s">
        <v>493</v>
      </c>
    </row>
    <row r="14" customFormat="false" ht="15" hidden="false" customHeight="true" outlineLevel="0" collapsed="false">
      <c r="A14" s="6" t="s">
        <v>494</v>
      </c>
      <c r="B14" s="6" t="s">
        <v>495</v>
      </c>
      <c r="C14" s="9" t="n">
        <v>230</v>
      </c>
      <c r="D14" s="25" t="n">
        <f aca="false">C14/$C$22</f>
        <v>0.113300492610837</v>
      </c>
      <c r="E14" s="6" t="s">
        <v>493</v>
      </c>
    </row>
    <row r="15" customFormat="false" ht="15" hidden="false" customHeight="true" outlineLevel="0" collapsed="false">
      <c r="A15" s="6" t="s">
        <v>496</v>
      </c>
      <c r="B15" s="6" t="s">
        <v>497</v>
      </c>
      <c r="C15" s="9" t="n">
        <v>115</v>
      </c>
      <c r="D15" s="25" t="n">
        <f aca="false">C15/$C$22</f>
        <v>0.0566502463054187</v>
      </c>
      <c r="E15" s="6" t="s">
        <v>498</v>
      </c>
    </row>
    <row r="16" customFormat="false" ht="15" hidden="false" customHeight="true" outlineLevel="0" collapsed="false">
      <c r="A16" s="6" t="s">
        <v>499</v>
      </c>
      <c r="B16" s="6" t="s">
        <v>500</v>
      </c>
      <c r="C16" s="9" t="n">
        <v>60</v>
      </c>
      <c r="D16" s="25" t="n">
        <f aca="false">C16/$C$22</f>
        <v>0.0295566502463054</v>
      </c>
      <c r="E16" s="6" t="s">
        <v>501</v>
      </c>
    </row>
    <row r="17" customFormat="false" ht="15" hidden="false" customHeight="true" outlineLevel="0" collapsed="false">
      <c r="A17" s="6" t="s">
        <v>502</v>
      </c>
      <c r="B17" s="6" t="s">
        <v>503</v>
      </c>
      <c r="C17" s="9" t="n">
        <v>600</v>
      </c>
      <c r="D17" s="25" t="n">
        <f aca="false">C17/$C$22</f>
        <v>0.295566502463054</v>
      </c>
      <c r="E17" s="6" t="s">
        <v>504</v>
      </c>
    </row>
    <row r="18" customFormat="false" ht="15" hidden="false" customHeight="true" outlineLevel="0" collapsed="false">
      <c r="A18" s="6" t="s">
        <v>505</v>
      </c>
      <c r="B18" s="6" t="s">
        <v>506</v>
      </c>
      <c r="C18" s="9" t="n">
        <v>200</v>
      </c>
      <c r="D18" s="25" t="n">
        <f aca="false">C18/$C$22</f>
        <v>0.0985221674876847</v>
      </c>
      <c r="E18" s="6" t="s">
        <v>507</v>
      </c>
    </row>
    <row r="19" customFormat="false" ht="15" hidden="false" customHeight="true" outlineLevel="0" collapsed="false">
      <c r="A19" s="6" t="s">
        <v>508</v>
      </c>
      <c r="B19" s="6" t="s">
        <v>509</v>
      </c>
      <c r="C19" s="9" t="n">
        <v>150</v>
      </c>
      <c r="D19" s="25" t="n">
        <f aca="false">C19/$C$22</f>
        <v>0.0738916256157636</v>
      </c>
      <c r="E19" s="6" t="s">
        <v>510</v>
      </c>
    </row>
    <row r="20" customFormat="false" ht="15" hidden="false" customHeight="true" outlineLevel="0" collapsed="false">
      <c r="A20" s="6" t="s">
        <v>511</v>
      </c>
      <c r="B20" s="6" t="s">
        <v>512</v>
      </c>
      <c r="C20" s="9" t="n">
        <v>200</v>
      </c>
      <c r="D20" s="25" t="n">
        <f aca="false">C20/$C$22</f>
        <v>0.0985221674876847</v>
      </c>
      <c r="E20" s="6" t="s">
        <v>330</v>
      </c>
    </row>
    <row r="21" customFormat="false" ht="15" hidden="false" customHeight="true" outlineLevel="0" collapsed="false">
      <c r="A21" s="6" t="s">
        <v>513</v>
      </c>
      <c r="B21" s="6" t="s">
        <v>514</v>
      </c>
      <c r="C21" s="9" t="n">
        <v>185</v>
      </c>
      <c r="D21" s="25" t="n">
        <f aca="false">C21/$C$22</f>
        <v>0.0911330049261084</v>
      </c>
      <c r="E21" s="6" t="s">
        <v>271</v>
      </c>
    </row>
    <row r="22" customFormat="false" ht="15" hidden="false" customHeight="true" outlineLevel="0" collapsed="false">
      <c r="A22" s="16" t="s">
        <v>336</v>
      </c>
      <c r="B22" s="23"/>
      <c r="C22" s="16" t="n">
        <f aca="false">SUM(C13:C21)</f>
        <v>2030</v>
      </c>
      <c r="D22" s="26" t="n">
        <v>1</v>
      </c>
      <c r="E22" s="23"/>
    </row>
    <row r="24" customFormat="false" ht="15" hidden="false" customHeight="true" outlineLevel="0" collapsed="false">
      <c r="A24" s="4" t="s">
        <v>515</v>
      </c>
      <c r="B24" s="4"/>
      <c r="C24" s="4"/>
      <c r="D24" s="4"/>
      <c r="E24" s="4"/>
    </row>
    <row r="25" customFormat="false" ht="15" hidden="false" customHeight="true" outlineLevel="0" collapsed="false">
      <c r="A25" s="6" t="s">
        <v>516</v>
      </c>
      <c r="B25" s="6" t="s">
        <v>517</v>
      </c>
      <c r="C25" s="9" t="n">
        <v>95000</v>
      </c>
      <c r="D25" s="17"/>
      <c r="E25" s="17"/>
    </row>
    <row r="26" customFormat="false" ht="15" hidden="false" customHeight="true" outlineLevel="0" collapsed="false">
      <c r="A26" s="6" t="s">
        <v>518</v>
      </c>
      <c r="B26" s="17"/>
      <c r="C26" s="6" t="n">
        <f aca="false">C22</f>
        <v>2030</v>
      </c>
      <c r="D26" s="17"/>
      <c r="E26" s="17"/>
    </row>
    <row r="27" customFormat="false" ht="15" hidden="false" customHeight="true" outlineLevel="0" collapsed="false">
      <c r="A27" s="7" t="s">
        <v>519</v>
      </c>
      <c r="B27" s="17"/>
      <c r="C27" s="27" t="n">
        <f aca="false">C25/C26</f>
        <v>46.7980295566503</v>
      </c>
      <c r="D27" s="17"/>
      <c r="E27" s="17"/>
    </row>
    <row r="28" customFormat="false" ht="15" hidden="false" customHeight="true" outlineLevel="0" collapsed="false">
      <c r="A28" s="7" t="s">
        <v>520</v>
      </c>
      <c r="B28" s="17"/>
      <c r="C28" s="28" t="n">
        <f aca="false">C26/60</f>
        <v>33.8333333333333</v>
      </c>
      <c r="D28" s="17"/>
      <c r="E28" s="17"/>
    </row>
  </sheetData>
  <mergeCells count="4">
    <mergeCell ref="A1:E1"/>
    <mergeCell ref="A3:E3"/>
    <mergeCell ref="A11:E11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29" t="s">
        <v>521</v>
      </c>
      <c r="B1" s="29"/>
      <c r="C1" s="29"/>
      <c r="D1" s="29"/>
      <c r="E1" s="29"/>
      <c r="F1" s="29"/>
    </row>
    <row r="3" customFormat="false" ht="15" hidden="false" customHeight="false" outlineLevel="0" collapsed="false">
      <c r="A3" s="30" t="s">
        <v>522</v>
      </c>
      <c r="B3" s="30"/>
      <c r="C3" s="30"/>
      <c r="D3" s="30"/>
      <c r="E3" s="30"/>
      <c r="F3" s="30"/>
    </row>
    <row r="4" customFormat="false" ht="26.85" hidden="false" customHeight="false" outlineLevel="0" collapsed="false">
      <c r="A4" s="8" t="s">
        <v>523</v>
      </c>
      <c r="B4" s="8" t="s">
        <v>524</v>
      </c>
      <c r="C4" s="8" t="s">
        <v>525</v>
      </c>
      <c r="D4" s="8" t="s">
        <v>526</v>
      </c>
      <c r="E4" s="8" t="s">
        <v>527</v>
      </c>
      <c r="F4" s="8" t="s">
        <v>6</v>
      </c>
    </row>
    <row r="5" customFormat="false" ht="15" hidden="false" customHeight="false" outlineLevel="0" collapsed="false">
      <c r="A5" s="31" t="s">
        <v>528</v>
      </c>
      <c r="B5" s="31" t="s">
        <v>529</v>
      </c>
      <c r="C5" s="31" t="n">
        <v>1562</v>
      </c>
      <c r="D5" s="31" t="n">
        <v>0</v>
      </c>
      <c r="E5" s="32" t="s">
        <v>530</v>
      </c>
      <c r="F5" s="31" t="s">
        <v>531</v>
      </c>
    </row>
    <row r="6" customFormat="false" ht="15" hidden="false" customHeight="false" outlineLevel="0" collapsed="false">
      <c r="A6" s="31" t="s">
        <v>532</v>
      </c>
      <c r="B6" s="31" t="s">
        <v>533</v>
      </c>
      <c r="C6" s="31" t="n">
        <v>1132</v>
      </c>
      <c r="D6" s="31" t="n">
        <v>160</v>
      </c>
      <c r="E6" s="33" t="s">
        <v>534</v>
      </c>
      <c r="F6" s="31" t="s">
        <v>535</v>
      </c>
    </row>
    <row r="7" customFormat="false" ht="15" hidden="false" customHeight="false" outlineLevel="0" collapsed="false">
      <c r="A7" s="31" t="s">
        <v>536</v>
      </c>
      <c r="B7" s="31" t="s">
        <v>537</v>
      </c>
      <c r="C7" s="31" t="s">
        <v>538</v>
      </c>
      <c r="D7" s="31" t="s">
        <v>538</v>
      </c>
      <c r="E7" s="33" t="s">
        <v>534</v>
      </c>
      <c r="F7" s="31" t="s">
        <v>539</v>
      </c>
    </row>
    <row r="8" customFormat="false" ht="15" hidden="false" customHeight="false" outlineLevel="0" collapsed="false">
      <c r="A8" s="31" t="s">
        <v>540</v>
      </c>
      <c r="B8" s="31" t="s">
        <v>541</v>
      </c>
      <c r="C8" s="31" t="n">
        <v>1297</v>
      </c>
      <c r="D8" s="31" t="n">
        <v>88</v>
      </c>
      <c r="E8" s="33" t="s">
        <v>534</v>
      </c>
      <c r="F8" s="31" t="s">
        <v>542</v>
      </c>
    </row>
    <row r="9" customFormat="false" ht="15" hidden="false" customHeight="false" outlineLevel="0" collapsed="false">
      <c r="A9" s="31" t="s">
        <v>543</v>
      </c>
      <c r="B9" s="31" t="s">
        <v>544</v>
      </c>
      <c r="C9" s="31" t="n">
        <v>1429</v>
      </c>
      <c r="D9" s="31" t="n">
        <v>155</v>
      </c>
      <c r="E9" s="33" t="s">
        <v>534</v>
      </c>
      <c r="F9" s="31" t="s">
        <v>545</v>
      </c>
    </row>
    <row r="10" customFormat="false" ht="15" hidden="false" customHeight="false" outlineLevel="0" collapsed="false">
      <c r="A10" s="31" t="s">
        <v>546</v>
      </c>
      <c r="B10" s="31" t="s">
        <v>547</v>
      </c>
      <c r="C10" s="31" t="n">
        <v>1571</v>
      </c>
      <c r="D10" s="31" t="n">
        <v>85</v>
      </c>
      <c r="E10" s="34" t="s">
        <v>548</v>
      </c>
      <c r="F10" s="31" t="s">
        <v>549</v>
      </c>
    </row>
    <row r="11" customFormat="false" ht="15" hidden="false" customHeight="false" outlineLevel="0" collapsed="false">
      <c r="A11" s="31" t="s">
        <v>550</v>
      </c>
      <c r="B11" s="31" t="s">
        <v>551</v>
      </c>
      <c r="C11" s="31" t="s">
        <v>538</v>
      </c>
      <c r="D11" s="31" t="s">
        <v>538</v>
      </c>
      <c r="E11" s="33" t="s">
        <v>534</v>
      </c>
      <c r="F11" s="31" t="s">
        <v>552</v>
      </c>
    </row>
    <row r="12" customFormat="false" ht="15" hidden="false" customHeight="false" outlineLevel="0" collapsed="false">
      <c r="A12" s="31" t="s">
        <v>553</v>
      </c>
      <c r="B12" s="31" t="s">
        <v>554</v>
      </c>
      <c r="C12" s="31" t="s">
        <v>538</v>
      </c>
      <c r="D12" s="31" t="s">
        <v>538</v>
      </c>
      <c r="E12" s="34" t="s">
        <v>548</v>
      </c>
      <c r="F12" s="31" t="s">
        <v>555</v>
      </c>
    </row>
    <row r="14" customFormat="false" ht="15" hidden="false" customHeight="false" outlineLevel="0" collapsed="false">
      <c r="A14" s="30" t="s">
        <v>556</v>
      </c>
      <c r="B14" s="30"/>
      <c r="C14" s="30"/>
      <c r="D14" s="30"/>
      <c r="E14" s="30"/>
      <c r="F14" s="30"/>
    </row>
    <row r="15" customFormat="false" ht="15" hidden="false" customHeight="false" outlineLevel="0" collapsed="false">
      <c r="A15" s="35" t="s">
        <v>557</v>
      </c>
      <c r="B15" s="35"/>
      <c r="C15" s="35"/>
      <c r="D15" s="35"/>
      <c r="E15" s="35"/>
      <c r="F15" s="35"/>
    </row>
    <row r="16" customFormat="false" ht="26.85" hidden="false" customHeight="false" outlineLevel="0" collapsed="false">
      <c r="A16" s="8" t="s">
        <v>134</v>
      </c>
      <c r="B16" s="8" t="s">
        <v>558</v>
      </c>
      <c r="C16" s="8" t="s">
        <v>559</v>
      </c>
      <c r="D16" s="8" t="s">
        <v>560</v>
      </c>
      <c r="E16" s="8" t="s">
        <v>561</v>
      </c>
      <c r="F16" s="8" t="s">
        <v>562</v>
      </c>
    </row>
    <row r="17" customFormat="false" ht="15" hidden="false" customHeight="false" outlineLevel="0" collapsed="false">
      <c r="A17" s="31" t="s">
        <v>217</v>
      </c>
      <c r="B17" s="31" t="s">
        <v>543</v>
      </c>
      <c r="C17" s="31" t="n">
        <v>19</v>
      </c>
      <c r="D17" s="34" t="s">
        <v>211</v>
      </c>
      <c r="E17" s="31" t="n">
        <v>28</v>
      </c>
      <c r="F17" s="31" t="s">
        <v>563</v>
      </c>
    </row>
    <row r="18" customFormat="false" ht="15" hidden="false" customHeight="false" outlineLevel="0" collapsed="false">
      <c r="A18" s="31" t="s">
        <v>236</v>
      </c>
      <c r="B18" s="31" t="s">
        <v>543</v>
      </c>
      <c r="C18" s="31" t="n">
        <v>16</v>
      </c>
      <c r="D18" s="34" t="s">
        <v>211</v>
      </c>
      <c r="E18" s="31" t="n">
        <v>6</v>
      </c>
      <c r="F18" s="31" t="s">
        <v>564</v>
      </c>
    </row>
    <row r="19" customFormat="false" ht="15" hidden="false" customHeight="false" outlineLevel="0" collapsed="false">
      <c r="A19" s="31" t="s">
        <v>565</v>
      </c>
      <c r="B19" s="31" t="s">
        <v>543</v>
      </c>
      <c r="C19" s="31" t="n">
        <v>14</v>
      </c>
      <c r="D19" s="32" t="s">
        <v>566</v>
      </c>
      <c r="E19" s="31" t="s">
        <v>271</v>
      </c>
      <c r="F19" s="31" t="s">
        <v>567</v>
      </c>
    </row>
    <row r="20" customFormat="false" ht="15" hidden="false" customHeight="false" outlineLevel="0" collapsed="false">
      <c r="A20" s="31" t="s">
        <v>568</v>
      </c>
      <c r="B20" s="31" t="s">
        <v>543</v>
      </c>
      <c r="C20" s="31" t="n">
        <v>14</v>
      </c>
      <c r="D20" s="32" t="s">
        <v>566</v>
      </c>
      <c r="E20" s="31" t="s">
        <v>271</v>
      </c>
      <c r="F20" s="31" t="s">
        <v>569</v>
      </c>
    </row>
    <row r="21" customFormat="false" ht="15" hidden="false" customHeight="false" outlineLevel="0" collapsed="false">
      <c r="A21" s="31" t="s">
        <v>570</v>
      </c>
      <c r="B21" s="31" t="s">
        <v>540</v>
      </c>
      <c r="C21" s="31" t="n">
        <v>13</v>
      </c>
      <c r="D21" s="32" t="s">
        <v>566</v>
      </c>
      <c r="E21" s="31" t="s">
        <v>271</v>
      </c>
      <c r="F21" s="31" t="s">
        <v>571</v>
      </c>
    </row>
    <row r="22" customFormat="false" ht="15" hidden="false" customHeight="false" outlineLevel="0" collapsed="false">
      <c r="A22" s="31" t="s">
        <v>182</v>
      </c>
      <c r="B22" s="31" t="s">
        <v>572</v>
      </c>
      <c r="C22" s="31" t="n">
        <v>13</v>
      </c>
      <c r="D22" s="34" t="s">
        <v>573</v>
      </c>
      <c r="E22" s="31" t="n">
        <v>28</v>
      </c>
      <c r="F22" s="31" t="s">
        <v>574</v>
      </c>
    </row>
    <row r="23" customFormat="false" ht="15" hidden="false" customHeight="false" outlineLevel="0" collapsed="false">
      <c r="A23" s="31" t="s">
        <v>575</v>
      </c>
      <c r="B23" s="31" t="s">
        <v>540</v>
      </c>
      <c r="C23" s="31" t="n">
        <v>12</v>
      </c>
      <c r="D23" s="34" t="s">
        <v>211</v>
      </c>
      <c r="E23" s="31" t="n">
        <v>33</v>
      </c>
      <c r="F23" s="31" t="s">
        <v>576</v>
      </c>
    </row>
    <row r="24" customFormat="false" ht="15" hidden="false" customHeight="false" outlineLevel="0" collapsed="false">
      <c r="A24" s="31" t="s">
        <v>577</v>
      </c>
      <c r="B24" s="31" t="s">
        <v>543</v>
      </c>
      <c r="C24" s="31" t="n">
        <v>12</v>
      </c>
      <c r="D24" s="32" t="s">
        <v>566</v>
      </c>
      <c r="E24" s="31" t="s">
        <v>271</v>
      </c>
      <c r="F24" s="31" t="s">
        <v>578</v>
      </c>
    </row>
    <row r="25" customFormat="false" ht="15" hidden="false" customHeight="false" outlineLevel="0" collapsed="false">
      <c r="A25" s="31" t="s">
        <v>579</v>
      </c>
      <c r="B25" s="31" t="s">
        <v>543</v>
      </c>
      <c r="C25" s="31" t="n">
        <v>12</v>
      </c>
      <c r="D25" s="32" t="s">
        <v>566</v>
      </c>
      <c r="E25" s="31" t="s">
        <v>271</v>
      </c>
      <c r="F25" s="31" t="s">
        <v>580</v>
      </c>
    </row>
    <row r="26" customFormat="false" ht="15" hidden="false" customHeight="false" outlineLevel="0" collapsed="false">
      <c r="A26" s="31" t="s">
        <v>195</v>
      </c>
      <c r="B26" s="31" t="s">
        <v>540</v>
      </c>
      <c r="C26" s="31" t="n">
        <v>11</v>
      </c>
      <c r="D26" s="33" t="s">
        <v>140</v>
      </c>
      <c r="E26" s="31" t="n">
        <v>22</v>
      </c>
      <c r="F26" s="31" t="s">
        <v>581</v>
      </c>
    </row>
    <row r="27" customFormat="false" ht="15" hidden="false" customHeight="false" outlineLevel="0" collapsed="false">
      <c r="A27" s="31" t="s">
        <v>582</v>
      </c>
      <c r="B27" s="31" t="s">
        <v>583</v>
      </c>
      <c r="C27" s="31" t="n">
        <v>16</v>
      </c>
      <c r="D27" s="32" t="s">
        <v>566</v>
      </c>
      <c r="E27" s="31" t="s">
        <v>271</v>
      </c>
      <c r="F27" s="31" t="s">
        <v>584</v>
      </c>
    </row>
    <row r="28" customFormat="false" ht="15" hidden="false" customHeight="false" outlineLevel="0" collapsed="false">
      <c r="A28" s="31" t="s">
        <v>585</v>
      </c>
      <c r="B28" s="31" t="s">
        <v>583</v>
      </c>
      <c r="C28" s="31" t="n">
        <v>16</v>
      </c>
      <c r="D28" s="32" t="s">
        <v>566</v>
      </c>
      <c r="E28" s="31" t="s">
        <v>271</v>
      </c>
      <c r="F28" s="31" t="s">
        <v>586</v>
      </c>
    </row>
    <row r="29" customFormat="false" ht="15" hidden="false" customHeight="false" outlineLevel="0" collapsed="false">
      <c r="A29" s="31" t="s">
        <v>232</v>
      </c>
      <c r="B29" s="31" t="s">
        <v>540</v>
      </c>
      <c r="C29" s="31" t="n">
        <v>10</v>
      </c>
      <c r="D29" s="34" t="s">
        <v>211</v>
      </c>
      <c r="E29" s="31" t="n">
        <v>28</v>
      </c>
      <c r="F29" s="31" t="s">
        <v>587</v>
      </c>
    </row>
    <row r="30" customFormat="false" ht="15" hidden="false" customHeight="false" outlineLevel="0" collapsed="false">
      <c r="A30" s="31" t="s">
        <v>588</v>
      </c>
      <c r="B30" s="31" t="s">
        <v>540</v>
      </c>
      <c r="C30" s="31" t="n">
        <v>10</v>
      </c>
      <c r="D30" s="33" t="s">
        <v>140</v>
      </c>
      <c r="E30" s="31" t="n">
        <v>11</v>
      </c>
      <c r="F30" s="31" t="s">
        <v>589</v>
      </c>
    </row>
    <row r="31" customFormat="false" ht="15" hidden="false" customHeight="false" outlineLevel="0" collapsed="false">
      <c r="A31" s="31" t="s">
        <v>590</v>
      </c>
      <c r="B31" s="31" t="s">
        <v>540</v>
      </c>
      <c r="C31" s="31" t="n">
        <v>10</v>
      </c>
      <c r="D31" s="34" t="s">
        <v>591</v>
      </c>
      <c r="E31" s="31" t="n">
        <v>22</v>
      </c>
      <c r="F31" s="31" t="s">
        <v>592</v>
      </c>
    </row>
    <row r="32" customFormat="false" ht="15" hidden="false" customHeight="false" outlineLevel="0" collapsed="false">
      <c r="A32" s="31" t="s">
        <v>593</v>
      </c>
      <c r="B32" s="31" t="s">
        <v>540</v>
      </c>
      <c r="C32" s="31" t="n">
        <v>10</v>
      </c>
      <c r="D32" s="34" t="s">
        <v>211</v>
      </c>
      <c r="E32" s="31" t="n">
        <v>56</v>
      </c>
      <c r="F32" s="31" t="s">
        <v>594</v>
      </c>
    </row>
    <row r="33" customFormat="false" ht="15" hidden="false" customHeight="false" outlineLevel="0" collapsed="false">
      <c r="A33" s="31" t="s">
        <v>595</v>
      </c>
      <c r="B33" s="31" t="s">
        <v>543</v>
      </c>
      <c r="C33" s="31" t="n">
        <v>11</v>
      </c>
      <c r="D33" s="32" t="s">
        <v>566</v>
      </c>
      <c r="E33" s="31" t="s">
        <v>271</v>
      </c>
      <c r="F33" s="31" t="s">
        <v>596</v>
      </c>
    </row>
    <row r="34" customFormat="false" ht="15" hidden="false" customHeight="false" outlineLevel="0" collapsed="false">
      <c r="A34" s="31" t="s">
        <v>597</v>
      </c>
      <c r="B34" s="31" t="s">
        <v>543</v>
      </c>
      <c r="C34" s="31" t="n">
        <v>11</v>
      </c>
      <c r="D34" s="34" t="s">
        <v>598</v>
      </c>
      <c r="E34" s="31" t="n">
        <v>33</v>
      </c>
      <c r="F34" s="31" t="s">
        <v>599</v>
      </c>
    </row>
    <row r="35" customFormat="false" ht="15" hidden="false" customHeight="false" outlineLevel="0" collapsed="false">
      <c r="A35" s="31" t="s">
        <v>600</v>
      </c>
      <c r="B35" s="31" t="s">
        <v>543</v>
      </c>
      <c r="C35" s="31" t="n">
        <v>11</v>
      </c>
      <c r="D35" s="32" t="s">
        <v>566</v>
      </c>
      <c r="E35" s="31" t="s">
        <v>271</v>
      </c>
      <c r="F35" s="31" t="s">
        <v>601</v>
      </c>
    </row>
    <row r="36" customFormat="false" ht="15" hidden="false" customHeight="false" outlineLevel="0" collapsed="false">
      <c r="A36" s="31" t="s">
        <v>602</v>
      </c>
      <c r="B36" s="31" t="s">
        <v>603</v>
      </c>
      <c r="C36" s="31" t="n">
        <v>20</v>
      </c>
      <c r="D36" s="32" t="s">
        <v>566</v>
      </c>
      <c r="E36" s="31" t="s">
        <v>271</v>
      </c>
      <c r="F36" s="31" t="s">
        <v>604</v>
      </c>
    </row>
    <row r="37" customFormat="false" ht="15" hidden="false" customHeight="false" outlineLevel="0" collapsed="false">
      <c r="A37" s="31" t="s">
        <v>605</v>
      </c>
      <c r="B37" s="31" t="s">
        <v>540</v>
      </c>
      <c r="C37" s="31" t="n">
        <v>9</v>
      </c>
      <c r="D37" s="33" t="s">
        <v>140</v>
      </c>
      <c r="E37" s="31" t="n">
        <v>0</v>
      </c>
      <c r="F37" s="31" t="s">
        <v>606</v>
      </c>
    </row>
    <row r="38" customFormat="false" ht="15" hidden="false" customHeight="false" outlineLevel="0" collapsed="false">
      <c r="A38" s="31" t="s">
        <v>607</v>
      </c>
      <c r="B38" s="31" t="s">
        <v>540</v>
      </c>
      <c r="C38" s="31" t="n">
        <v>9</v>
      </c>
      <c r="D38" s="32" t="s">
        <v>566</v>
      </c>
      <c r="E38" s="31" t="s">
        <v>271</v>
      </c>
      <c r="F38" s="31" t="s">
        <v>608</v>
      </c>
    </row>
    <row r="39" customFormat="false" ht="15" hidden="false" customHeight="false" outlineLevel="0" collapsed="false">
      <c r="A39" s="31" t="s">
        <v>249</v>
      </c>
      <c r="B39" s="31" t="s">
        <v>540</v>
      </c>
      <c r="C39" s="31" t="n">
        <v>9</v>
      </c>
      <c r="D39" s="34" t="s">
        <v>211</v>
      </c>
      <c r="E39" s="31" t="n">
        <v>44</v>
      </c>
      <c r="F39" s="31" t="s">
        <v>609</v>
      </c>
    </row>
    <row r="40" customFormat="false" ht="15" hidden="false" customHeight="false" outlineLevel="0" collapsed="false">
      <c r="A40" s="31" t="s">
        <v>610</v>
      </c>
      <c r="B40" s="31" t="s">
        <v>540</v>
      </c>
      <c r="C40" s="31" t="n">
        <v>9</v>
      </c>
      <c r="D40" s="32" t="s">
        <v>566</v>
      </c>
      <c r="E40" s="31" t="s">
        <v>271</v>
      </c>
      <c r="F40" s="31" t="s">
        <v>578</v>
      </c>
    </row>
    <row r="41" customFormat="false" ht="15" hidden="false" customHeight="false" outlineLevel="0" collapsed="false">
      <c r="A41" s="31" t="s">
        <v>611</v>
      </c>
      <c r="B41" s="31" t="s">
        <v>540</v>
      </c>
      <c r="C41" s="31" t="n">
        <v>9</v>
      </c>
      <c r="D41" s="32" t="s">
        <v>566</v>
      </c>
      <c r="E41" s="31" t="s">
        <v>271</v>
      </c>
      <c r="F41" s="31" t="s">
        <v>612</v>
      </c>
    </row>
    <row r="42" customFormat="false" ht="15" hidden="false" customHeight="false" outlineLevel="0" collapsed="false">
      <c r="A42" s="31" t="s">
        <v>613</v>
      </c>
      <c r="B42" s="31" t="s">
        <v>532</v>
      </c>
      <c r="C42" s="31" t="n">
        <v>9</v>
      </c>
      <c r="D42" s="32" t="s">
        <v>566</v>
      </c>
      <c r="E42" s="31" t="s">
        <v>271</v>
      </c>
      <c r="F42" s="31" t="s">
        <v>614</v>
      </c>
    </row>
    <row r="43" customFormat="false" ht="15" hidden="false" customHeight="false" outlineLevel="0" collapsed="false">
      <c r="A43" s="31" t="s">
        <v>190</v>
      </c>
      <c r="B43" s="31" t="s">
        <v>532</v>
      </c>
      <c r="C43" s="31" t="n">
        <v>9</v>
      </c>
      <c r="D43" s="33" t="s">
        <v>140</v>
      </c>
      <c r="E43" s="31" t="n">
        <v>11</v>
      </c>
      <c r="F43" s="31" t="s">
        <v>615</v>
      </c>
    </row>
    <row r="44" customFormat="false" ht="15" hidden="false" customHeight="false" outlineLevel="0" collapsed="false">
      <c r="A44" s="31" t="s">
        <v>616</v>
      </c>
      <c r="B44" s="31" t="s">
        <v>532</v>
      </c>
      <c r="C44" s="31" t="n">
        <v>8</v>
      </c>
      <c r="D44" s="32" t="s">
        <v>566</v>
      </c>
      <c r="E44" s="31" t="s">
        <v>271</v>
      </c>
      <c r="F44" s="31" t="s">
        <v>617</v>
      </c>
    </row>
    <row r="45" customFormat="false" ht="15" hidden="false" customHeight="false" outlineLevel="0" collapsed="false">
      <c r="A45" s="31" t="s">
        <v>618</v>
      </c>
      <c r="B45" s="31" t="s">
        <v>532</v>
      </c>
      <c r="C45" s="31" t="n">
        <v>8</v>
      </c>
      <c r="D45" s="32" t="s">
        <v>566</v>
      </c>
      <c r="E45" s="31" t="s">
        <v>271</v>
      </c>
      <c r="F45" s="31" t="s">
        <v>619</v>
      </c>
    </row>
    <row r="46" customFormat="false" ht="15" hidden="false" customHeight="false" outlineLevel="0" collapsed="false">
      <c r="A46" s="31" t="s">
        <v>620</v>
      </c>
      <c r="B46" s="31" t="s">
        <v>532</v>
      </c>
      <c r="C46" s="31" t="n">
        <v>7</v>
      </c>
      <c r="D46" s="33" t="s">
        <v>621</v>
      </c>
      <c r="E46" s="31" t="n">
        <v>33</v>
      </c>
      <c r="F46" s="31" t="s">
        <v>622</v>
      </c>
    </row>
    <row r="47" customFormat="false" ht="15" hidden="false" customHeight="false" outlineLevel="0" collapsed="false">
      <c r="A47" s="31" t="s">
        <v>623</v>
      </c>
      <c r="B47" s="31" t="s">
        <v>624</v>
      </c>
      <c r="C47" s="31" t="n">
        <v>14</v>
      </c>
      <c r="D47" s="34" t="s">
        <v>591</v>
      </c>
      <c r="E47" s="31" t="n">
        <v>28</v>
      </c>
      <c r="F47" s="31" t="s">
        <v>625</v>
      </c>
    </row>
    <row r="48" customFormat="false" ht="15" hidden="false" customHeight="false" outlineLevel="0" collapsed="false">
      <c r="A48" s="31" t="s">
        <v>626</v>
      </c>
      <c r="B48" s="31" t="s">
        <v>627</v>
      </c>
      <c r="C48" s="31" t="n">
        <v>17</v>
      </c>
      <c r="D48" s="32" t="s">
        <v>566</v>
      </c>
      <c r="E48" s="31" t="s">
        <v>271</v>
      </c>
      <c r="F48" s="31" t="s">
        <v>628</v>
      </c>
    </row>
    <row r="49" customFormat="false" ht="15" hidden="false" customHeight="false" outlineLevel="0" collapsed="false">
      <c r="A49" s="31" t="s">
        <v>233</v>
      </c>
      <c r="B49" s="31" t="s">
        <v>532</v>
      </c>
      <c r="C49" s="31" t="n">
        <v>7</v>
      </c>
      <c r="D49" s="34" t="s">
        <v>211</v>
      </c>
      <c r="E49" s="31" t="n">
        <v>28</v>
      </c>
      <c r="F49" s="31" t="s">
        <v>629</v>
      </c>
    </row>
    <row r="50" customFormat="false" ht="15" hidden="false" customHeight="false" outlineLevel="0" collapsed="false">
      <c r="A50" s="31" t="s">
        <v>630</v>
      </c>
      <c r="B50" s="31" t="s">
        <v>532</v>
      </c>
      <c r="C50" s="31" t="n">
        <v>6</v>
      </c>
      <c r="D50" s="32" t="s">
        <v>566</v>
      </c>
      <c r="E50" s="31" t="s">
        <v>271</v>
      </c>
      <c r="F50" s="31" t="s">
        <v>631</v>
      </c>
    </row>
    <row r="51" customFormat="false" ht="15" hidden="false" customHeight="false" outlineLevel="0" collapsed="false">
      <c r="A51" s="31" t="s">
        <v>632</v>
      </c>
      <c r="B51" s="31" t="s">
        <v>543</v>
      </c>
      <c r="C51" s="31" t="n">
        <v>10</v>
      </c>
      <c r="D51" s="32" t="s">
        <v>566</v>
      </c>
      <c r="E51" s="31" t="s">
        <v>271</v>
      </c>
      <c r="F51" s="31" t="s">
        <v>633</v>
      </c>
    </row>
    <row r="52" customFormat="false" ht="15" hidden="false" customHeight="false" outlineLevel="0" collapsed="false">
      <c r="A52" s="31" t="s">
        <v>634</v>
      </c>
      <c r="B52" s="31" t="s">
        <v>543</v>
      </c>
      <c r="C52" s="31" t="n">
        <v>10</v>
      </c>
      <c r="D52" s="32" t="s">
        <v>566</v>
      </c>
      <c r="E52" s="31" t="s">
        <v>271</v>
      </c>
      <c r="F52" s="31" t="s">
        <v>635</v>
      </c>
    </row>
    <row r="54" customFormat="false" ht="15" hidden="false" customHeight="false" outlineLevel="0" collapsed="false">
      <c r="A54" s="30" t="s">
        <v>636</v>
      </c>
      <c r="B54" s="30"/>
      <c r="C54" s="30"/>
      <c r="D54" s="30"/>
      <c r="E54" s="30"/>
      <c r="F54" s="30"/>
    </row>
    <row r="55" customFormat="false" ht="37.5" hidden="false" customHeight="true" outlineLevel="0" collapsed="false">
      <c r="A55" s="11" t="s">
        <v>637</v>
      </c>
      <c r="B55" s="11"/>
      <c r="C55" s="11"/>
      <c r="D55" s="11"/>
      <c r="E55" s="11"/>
      <c r="F55" s="11"/>
    </row>
    <row r="56" customFormat="false" ht="37.5" hidden="false" customHeight="true" outlineLevel="0" collapsed="false">
      <c r="A56" s="11" t="s">
        <v>638</v>
      </c>
      <c r="B56" s="11"/>
      <c r="C56" s="11"/>
      <c r="D56" s="11"/>
      <c r="E56" s="11"/>
      <c r="F56" s="11"/>
    </row>
    <row r="57" customFormat="false" ht="37.5" hidden="false" customHeight="true" outlineLevel="0" collapsed="false">
      <c r="A57" s="11" t="s">
        <v>639</v>
      </c>
      <c r="B57" s="11"/>
      <c r="C57" s="11"/>
      <c r="D57" s="11"/>
      <c r="E57" s="11"/>
      <c r="F57" s="11"/>
    </row>
    <row r="58" customFormat="false" ht="37.5" hidden="false" customHeight="true" outlineLevel="0" collapsed="false">
      <c r="A58" s="11" t="s">
        <v>640</v>
      </c>
      <c r="B58" s="11"/>
      <c r="C58" s="11"/>
      <c r="D58" s="11"/>
      <c r="E58" s="11"/>
      <c r="F58" s="11"/>
    </row>
    <row r="59" customFormat="false" ht="37.5" hidden="false" customHeight="true" outlineLevel="0" collapsed="false">
      <c r="A59" s="11" t="s">
        <v>641</v>
      </c>
      <c r="B59" s="11"/>
      <c r="C59" s="11"/>
      <c r="D59" s="11"/>
      <c r="E59" s="11"/>
      <c r="F59" s="11"/>
    </row>
    <row r="60" customFormat="false" ht="37.5" hidden="false" customHeight="true" outlineLevel="0" collapsed="false">
      <c r="A60" s="11" t="s">
        <v>642</v>
      </c>
      <c r="B60" s="11"/>
      <c r="C60" s="11"/>
      <c r="D60" s="11"/>
      <c r="E60" s="11"/>
      <c r="F60" s="11"/>
    </row>
  </sheetData>
  <mergeCells count="11">
    <mergeCell ref="A1:F1"/>
    <mergeCell ref="A3:F3"/>
    <mergeCell ref="A14:F14"/>
    <mergeCell ref="A15:F15"/>
    <mergeCell ref="A54:F54"/>
    <mergeCell ref="A55:F55"/>
    <mergeCell ref="A56:F56"/>
    <mergeCell ref="A57:F57"/>
    <mergeCell ref="A58:F58"/>
    <mergeCell ref="A59:F59"/>
    <mergeCell ref="A60:F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2026-04-29T15:53:42Z</dcterms:created>
  <dc:creator>openpyxl</dc:creator>
  <dc:description/>
  <dc:language>en-US</dc:language>
  <cp:lastModifiedBy/>
  <dcterms:modified xsi:type="dcterms:W3CDTF">2026-04-29T16:51:48Z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